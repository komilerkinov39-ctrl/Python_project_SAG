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13\Desktop\Python_project_SAG\Sop for Oktober\Джут\"/>
    </mc:Choice>
  </mc:AlternateContent>
  <xr:revisionPtr revIDLastSave="0" documentId="13_ncr:1_{DFEDA8C1-28CD-4678-BCDE-6EDACDF9D4FF}" xr6:coauthVersionLast="47" xr6:coauthVersionMax="47" xr10:uidLastSave="{00000000-0000-0000-0000-000000000000}"/>
  <bookViews>
    <workbookView xWindow="-108" yWindow="-108" windowWidth="23256" windowHeight="12456" tabRatio="806" activeTab="1" xr2:uid="{00000000-000D-0000-FFFF-FFFF00000000}"/>
  </bookViews>
  <sheets>
    <sheet name="ANTP" sheetId="7" r:id="rId1"/>
    <sheet name="XIV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3" l="1"/>
  <c r="C38" i="7"/>
  <c r="H16" i="3"/>
  <c r="K36" i="7"/>
  <c r="G36" i="7"/>
  <c r="H36" i="7"/>
  <c r="I36" i="7"/>
  <c r="J36" i="7"/>
  <c r="G16" i="3"/>
  <c r="I16" i="3"/>
  <c r="J16" i="3"/>
  <c r="K16" i="3"/>
  <c r="K14" i="3"/>
  <c r="J14" i="3"/>
  <c r="I14" i="3"/>
  <c r="H14" i="3"/>
  <c r="G14" i="3"/>
  <c r="K13" i="3"/>
  <c r="J13" i="3"/>
  <c r="I13" i="3"/>
  <c r="H13" i="3"/>
  <c r="N13" i="3" s="1"/>
  <c r="G13" i="3"/>
  <c r="L13" i="3" s="1"/>
  <c r="K12" i="3"/>
  <c r="Q12" i="3" s="1"/>
  <c r="J12" i="3"/>
  <c r="P12" i="3" s="1"/>
  <c r="I12" i="3"/>
  <c r="H12" i="3"/>
  <c r="G12" i="3"/>
  <c r="L12" i="3" s="1"/>
  <c r="K11" i="3"/>
  <c r="J11" i="3"/>
  <c r="I11" i="3"/>
  <c r="H11" i="3"/>
  <c r="G11" i="3"/>
  <c r="K10" i="3"/>
  <c r="J10" i="3"/>
  <c r="I10" i="3"/>
  <c r="H10" i="3"/>
  <c r="L10" i="3" s="1"/>
  <c r="P10" i="3" s="1"/>
  <c r="G10" i="3"/>
  <c r="K9" i="3"/>
  <c r="J9" i="3"/>
  <c r="I9" i="3"/>
  <c r="H9" i="3"/>
  <c r="G9" i="3"/>
  <c r="K8" i="3"/>
  <c r="J8" i="3"/>
  <c r="I8" i="3"/>
  <c r="H8" i="3"/>
  <c r="G8" i="3"/>
  <c r="L8" i="3" s="1"/>
  <c r="N8" i="3" s="1"/>
  <c r="K7" i="3"/>
  <c r="L7" i="3" s="1"/>
  <c r="J7" i="3"/>
  <c r="I7" i="3"/>
  <c r="H7" i="3"/>
  <c r="G7" i="3"/>
  <c r="K6" i="3"/>
  <c r="J6" i="3"/>
  <c r="I6" i="3"/>
  <c r="H6" i="3"/>
  <c r="G6" i="3"/>
  <c r="K5" i="3"/>
  <c r="J5" i="3"/>
  <c r="I5" i="3"/>
  <c r="H5" i="3"/>
  <c r="G5" i="3"/>
  <c r="K4" i="3"/>
  <c r="J4" i="3"/>
  <c r="I4" i="3"/>
  <c r="H4" i="3"/>
  <c r="G4" i="3"/>
  <c r="K3" i="3"/>
  <c r="J3" i="3"/>
  <c r="I3" i="3"/>
  <c r="H3" i="3"/>
  <c r="G3" i="3"/>
  <c r="L3" i="3" s="1"/>
  <c r="Q3" i="3" s="1"/>
  <c r="K2" i="3"/>
  <c r="J2" i="3"/>
  <c r="I2" i="3"/>
  <c r="H2" i="3"/>
  <c r="G2" i="3"/>
  <c r="L6" i="3"/>
  <c r="Q6" i="3" s="1"/>
  <c r="N6" i="3"/>
  <c r="O6" i="3"/>
  <c r="P6" i="3"/>
  <c r="H15" i="3"/>
  <c r="I15" i="3"/>
  <c r="J15" i="3"/>
  <c r="K15" i="3"/>
  <c r="L14" i="3"/>
  <c r="N14" i="3" s="1"/>
  <c r="L2" i="3"/>
  <c r="N2" i="3" s="1"/>
  <c r="G15" i="3"/>
  <c r="K35" i="7"/>
  <c r="J35" i="7"/>
  <c r="I35" i="7"/>
  <c r="H35" i="7"/>
  <c r="G35" i="7"/>
  <c r="K34" i="7"/>
  <c r="J34" i="7"/>
  <c r="I34" i="7"/>
  <c r="H34" i="7"/>
  <c r="G34" i="7"/>
  <c r="K33" i="7"/>
  <c r="J33" i="7"/>
  <c r="I33" i="7"/>
  <c r="H33" i="7"/>
  <c r="G33" i="7"/>
  <c r="K32" i="7"/>
  <c r="J32" i="7"/>
  <c r="I32" i="7"/>
  <c r="H32" i="7"/>
  <c r="G32" i="7"/>
  <c r="K31" i="7"/>
  <c r="J31" i="7"/>
  <c r="I31" i="7"/>
  <c r="H31" i="7"/>
  <c r="G31" i="7"/>
  <c r="O30" i="7"/>
  <c r="N30" i="7"/>
  <c r="K30" i="7"/>
  <c r="J30" i="7"/>
  <c r="I30" i="7"/>
  <c r="H30" i="7"/>
  <c r="G30" i="7"/>
  <c r="L30" i="7" s="1"/>
  <c r="L29" i="7"/>
  <c r="N29" i="7" s="1"/>
  <c r="K29" i="7"/>
  <c r="J29" i="7"/>
  <c r="I29" i="7"/>
  <c r="H29" i="7"/>
  <c r="G29" i="7"/>
  <c r="K28" i="7"/>
  <c r="J28" i="7"/>
  <c r="I28" i="7"/>
  <c r="H28" i="7"/>
  <c r="G28" i="7"/>
  <c r="K27" i="7"/>
  <c r="J27" i="7"/>
  <c r="I27" i="7"/>
  <c r="H27" i="7"/>
  <c r="G27" i="7"/>
  <c r="K26" i="7"/>
  <c r="J26" i="7"/>
  <c r="I26" i="7"/>
  <c r="H26" i="7"/>
  <c r="G26" i="7"/>
  <c r="K25" i="7"/>
  <c r="J25" i="7"/>
  <c r="I25" i="7"/>
  <c r="H25" i="7"/>
  <c r="G25" i="7"/>
  <c r="K24" i="7"/>
  <c r="J24" i="7"/>
  <c r="I24" i="7"/>
  <c r="H24" i="7"/>
  <c r="G24" i="7"/>
  <c r="K23" i="7"/>
  <c r="J23" i="7"/>
  <c r="I23" i="7"/>
  <c r="H23" i="7"/>
  <c r="G23" i="7"/>
  <c r="K22" i="7"/>
  <c r="J22" i="7"/>
  <c r="I22" i="7"/>
  <c r="H22" i="7"/>
  <c r="G22" i="7"/>
  <c r="K21" i="7"/>
  <c r="J21" i="7"/>
  <c r="I21" i="7"/>
  <c r="H21" i="7"/>
  <c r="G21" i="7"/>
  <c r="K19" i="7"/>
  <c r="J19" i="7"/>
  <c r="I19" i="7"/>
  <c r="H19" i="7"/>
  <c r="G19" i="7"/>
  <c r="K18" i="7"/>
  <c r="J18" i="7"/>
  <c r="I18" i="7"/>
  <c r="H18" i="7"/>
  <c r="G18" i="7"/>
  <c r="K17" i="7"/>
  <c r="J17" i="7"/>
  <c r="I17" i="7"/>
  <c r="H17" i="7"/>
  <c r="G17" i="7"/>
  <c r="K16" i="7"/>
  <c r="J16" i="7"/>
  <c r="I16" i="7"/>
  <c r="H16" i="7"/>
  <c r="G16" i="7"/>
  <c r="K15" i="7"/>
  <c r="J15" i="7"/>
  <c r="I15" i="7"/>
  <c r="H15" i="7"/>
  <c r="G15" i="7"/>
  <c r="K14" i="7"/>
  <c r="J14" i="7"/>
  <c r="I14" i="7"/>
  <c r="H14" i="7"/>
  <c r="G14" i="7"/>
  <c r="P13" i="7"/>
  <c r="K13" i="7"/>
  <c r="J13" i="7"/>
  <c r="I13" i="7"/>
  <c r="H13" i="7"/>
  <c r="G13" i="7"/>
  <c r="L13" i="7" s="1"/>
  <c r="Q13" i="7" s="1"/>
  <c r="L12" i="7"/>
  <c r="N12" i="7" s="1"/>
  <c r="K12" i="7"/>
  <c r="J12" i="7"/>
  <c r="I12" i="7"/>
  <c r="H12" i="7"/>
  <c r="G12" i="7"/>
  <c r="K11" i="7"/>
  <c r="L11" i="7" s="1"/>
  <c r="J11" i="7"/>
  <c r="I11" i="7"/>
  <c r="H11" i="7"/>
  <c r="G11" i="7"/>
  <c r="K10" i="7"/>
  <c r="J10" i="7"/>
  <c r="I10" i="7"/>
  <c r="H10" i="7"/>
  <c r="G10" i="7"/>
  <c r="K9" i="7"/>
  <c r="J9" i="7"/>
  <c r="I9" i="7"/>
  <c r="L9" i="7" s="1"/>
  <c r="H9" i="7"/>
  <c r="G9" i="7"/>
  <c r="K8" i="7"/>
  <c r="J8" i="7"/>
  <c r="I8" i="7"/>
  <c r="H8" i="7"/>
  <c r="G8" i="7"/>
  <c r="K7" i="7"/>
  <c r="J7" i="7"/>
  <c r="I7" i="7"/>
  <c r="H7" i="7"/>
  <c r="G7" i="7"/>
  <c r="K6" i="7"/>
  <c r="J6" i="7"/>
  <c r="I6" i="7"/>
  <c r="H6" i="7"/>
  <c r="G6" i="7"/>
  <c r="K5" i="7"/>
  <c r="J5" i="7"/>
  <c r="I5" i="7"/>
  <c r="H5" i="7"/>
  <c r="G5" i="7"/>
  <c r="K4" i="7"/>
  <c r="J4" i="7"/>
  <c r="I4" i="7"/>
  <c r="H4" i="7"/>
  <c r="G4" i="7"/>
  <c r="K3" i="7"/>
  <c r="J3" i="7"/>
  <c r="I3" i="7"/>
  <c r="H3" i="7"/>
  <c r="G3" i="7"/>
  <c r="K2" i="7"/>
  <c r="J2" i="7"/>
  <c r="I2" i="7"/>
  <c r="H2" i="7"/>
  <c r="G2" i="7"/>
  <c r="P15" i="3" l="1"/>
  <c r="O15" i="3"/>
  <c r="L15" i="3"/>
  <c r="L36" i="7"/>
  <c r="N36" i="7" s="1"/>
  <c r="L16" i="3"/>
  <c r="N16" i="3" s="1"/>
  <c r="M7" i="3"/>
  <c r="O7" i="3"/>
  <c r="O10" i="3"/>
  <c r="M13" i="3"/>
  <c r="P13" i="3"/>
  <c r="Q13" i="3"/>
  <c r="P3" i="3"/>
  <c r="O8" i="3"/>
  <c r="O13" i="3"/>
  <c r="N7" i="3"/>
  <c r="M12" i="3"/>
  <c r="N12" i="3"/>
  <c r="O12" i="3"/>
  <c r="N10" i="3"/>
  <c r="P14" i="3"/>
  <c r="O14" i="3"/>
  <c r="Q14" i="3"/>
  <c r="Q10" i="3"/>
  <c r="Q8" i="3"/>
  <c r="Q2" i="3"/>
  <c r="P2" i="3"/>
  <c r="M10" i="3"/>
  <c r="P8" i="3"/>
  <c r="O2" i="3"/>
  <c r="O3" i="3"/>
  <c r="N3" i="3"/>
  <c r="M3" i="3"/>
  <c r="P7" i="3"/>
  <c r="L9" i="3"/>
  <c r="P9" i="3" s="1"/>
  <c r="M2" i="3"/>
  <c r="L4" i="3"/>
  <c r="L5" i="3"/>
  <c r="M5" i="3" s="1"/>
  <c r="Q7" i="3"/>
  <c r="M8" i="3"/>
  <c r="L11" i="3"/>
  <c r="M6" i="3"/>
  <c r="M14" i="3"/>
  <c r="M15" i="3"/>
  <c r="Q15" i="3"/>
  <c r="N15" i="3"/>
  <c r="H20" i="7"/>
  <c r="I20" i="7"/>
  <c r="J20" i="7"/>
  <c r="K20" i="7"/>
  <c r="G20" i="7"/>
  <c r="N9" i="7"/>
  <c r="M9" i="7"/>
  <c r="P11" i="7"/>
  <c r="O11" i="7"/>
  <c r="N11" i="7"/>
  <c r="M11" i="7"/>
  <c r="Q27" i="7"/>
  <c r="L19" i="7"/>
  <c r="M19" i="7"/>
  <c r="P27" i="7"/>
  <c r="M12" i="7"/>
  <c r="M17" i="7"/>
  <c r="L17" i="7"/>
  <c r="Q17" i="7" s="1"/>
  <c r="L23" i="7"/>
  <c r="N23" i="7" s="1"/>
  <c r="L34" i="7"/>
  <c r="Q34" i="7" s="1"/>
  <c r="O7" i="7"/>
  <c r="L27" i="7"/>
  <c r="L16" i="7"/>
  <c r="O16" i="7" s="1"/>
  <c r="P30" i="7"/>
  <c r="Q30" i="7"/>
  <c r="N4" i="7"/>
  <c r="L7" i="7"/>
  <c r="Q7" i="7" s="1"/>
  <c r="Q12" i="7"/>
  <c r="P12" i="7"/>
  <c r="L5" i="7"/>
  <c r="Q5" i="7" s="1"/>
  <c r="N19" i="7"/>
  <c r="O19" i="7"/>
  <c r="Q11" i="7"/>
  <c r="O17" i="7"/>
  <c r="Q29" i="7"/>
  <c r="P29" i="7"/>
  <c r="O29" i="7"/>
  <c r="O34" i="7"/>
  <c r="P5" i="7"/>
  <c r="L26" i="7"/>
  <c r="O26" i="7"/>
  <c r="L18" i="7"/>
  <c r="Q18" i="7" s="1"/>
  <c r="L22" i="7"/>
  <c r="Q22" i="7" s="1"/>
  <c r="P26" i="7"/>
  <c r="L35" i="7"/>
  <c r="M35" i="7" s="1"/>
  <c r="Q10" i="7"/>
  <c r="N18" i="7"/>
  <c r="L28" i="7"/>
  <c r="O33" i="7"/>
  <c r="O6" i="7"/>
  <c r="M13" i="7"/>
  <c r="P35" i="7"/>
  <c r="O9" i="7"/>
  <c r="M21" i="7"/>
  <c r="L25" i="7"/>
  <c r="M25" i="7" s="1"/>
  <c r="N25" i="7"/>
  <c r="P9" i="7"/>
  <c r="Q9" i="7"/>
  <c r="N17" i="7"/>
  <c r="P25" i="7"/>
  <c r="P7" i="7"/>
  <c r="O12" i="7"/>
  <c r="P19" i="7"/>
  <c r="Q25" i="7"/>
  <c r="Q19" i="7"/>
  <c r="M29" i="7"/>
  <c r="L4" i="7"/>
  <c r="L8" i="7"/>
  <c r="M8" i="7" s="1"/>
  <c r="N8" i="7"/>
  <c r="L24" i="7"/>
  <c r="M24" i="7" s="1"/>
  <c r="L6" i="7"/>
  <c r="Q6" i="7" s="1"/>
  <c r="O24" i="7"/>
  <c r="L10" i="7"/>
  <c r="O35" i="7"/>
  <c r="N13" i="7"/>
  <c r="N3" i="7"/>
  <c r="O13" i="7"/>
  <c r="N15" i="7"/>
  <c r="M30" i="7"/>
  <c r="Q35" i="7"/>
  <c r="L21" i="7"/>
  <c r="L33" i="7"/>
  <c r="L3" i="7"/>
  <c r="L15" i="7"/>
  <c r="L32" i="7"/>
  <c r="M32" i="7" s="1"/>
  <c r="L2" i="7"/>
  <c r="L14" i="7"/>
  <c r="L31" i="7"/>
  <c r="Q36" i="7" l="1"/>
  <c r="P36" i="7"/>
  <c r="M36" i="7"/>
  <c r="O36" i="7"/>
  <c r="O16" i="3"/>
  <c r="P16" i="3"/>
  <c r="Q16" i="3"/>
  <c r="M16" i="3"/>
  <c r="Q9" i="3"/>
  <c r="Q11" i="3"/>
  <c r="P11" i="3"/>
  <c r="N5" i="3"/>
  <c r="Q5" i="3"/>
  <c r="P5" i="3"/>
  <c r="O5" i="3"/>
  <c r="M11" i="3"/>
  <c r="O4" i="3"/>
  <c r="P4" i="3"/>
  <c r="M4" i="3"/>
  <c r="N11" i="3"/>
  <c r="N9" i="3"/>
  <c r="O9" i="3"/>
  <c r="M9" i="3"/>
  <c r="O11" i="3"/>
  <c r="Q4" i="3"/>
  <c r="N4" i="3"/>
  <c r="O28" i="7"/>
  <c r="P28" i="7"/>
  <c r="N28" i="7"/>
  <c r="M28" i="7"/>
  <c r="Q2" i="7"/>
  <c r="P2" i="7"/>
  <c r="O2" i="7"/>
  <c r="N2" i="7"/>
  <c r="P22" i="7"/>
  <c r="Q23" i="7"/>
  <c r="M34" i="7"/>
  <c r="P32" i="7"/>
  <c r="O32" i="7"/>
  <c r="Q32" i="7"/>
  <c r="Q15" i="7"/>
  <c r="P15" i="7"/>
  <c r="O15" i="7"/>
  <c r="Q24" i="7"/>
  <c r="M23" i="7"/>
  <c r="P6" i="7"/>
  <c r="O8" i="7"/>
  <c r="P34" i="7"/>
  <c r="P8" i="7"/>
  <c r="M22" i="7"/>
  <c r="M2" i="7"/>
  <c r="P4" i="7"/>
  <c r="Q4" i="7"/>
  <c r="N6" i="7"/>
  <c r="M7" i="7"/>
  <c r="M4" i="7"/>
  <c r="P24" i="7"/>
  <c r="N7" i="7"/>
  <c r="N32" i="7"/>
  <c r="O18" i="7"/>
  <c r="N24" i="7"/>
  <c r="O5" i="7"/>
  <c r="Q28" i="7"/>
  <c r="Q14" i="7"/>
  <c r="N14" i="7"/>
  <c r="P14" i="7"/>
  <c r="O14" i="7"/>
  <c r="M6" i="7"/>
  <c r="N34" i="7"/>
  <c r="N22" i="7"/>
  <c r="P16" i="7"/>
  <c r="Q16" i="7"/>
  <c r="M16" i="7"/>
  <c r="M18" i="7"/>
  <c r="P33" i="7"/>
  <c r="Q33" i="7"/>
  <c r="P21" i="7"/>
  <c r="Q21" i="7"/>
  <c r="N21" i="7"/>
  <c r="M33" i="7"/>
  <c r="P23" i="7"/>
  <c r="O23" i="7"/>
  <c r="Q31" i="7"/>
  <c r="P31" i="7"/>
  <c r="O31" i="7"/>
  <c r="N31" i="7"/>
  <c r="M5" i="7"/>
  <c r="Q3" i="7"/>
  <c r="O3" i="7"/>
  <c r="P3" i="7"/>
  <c r="M3" i="7"/>
  <c r="P18" i="7"/>
  <c r="M15" i="7"/>
  <c r="M31" i="7"/>
  <c r="L20" i="7"/>
  <c r="P20" i="7" s="1"/>
  <c r="O22" i="7"/>
  <c r="M14" i="7"/>
  <c r="O4" i="7"/>
  <c r="O10" i="7"/>
  <c r="N10" i="7"/>
  <c r="M10" i="7"/>
  <c r="N26" i="7"/>
  <c r="M26" i="7"/>
  <c r="N35" i="7"/>
  <c r="P17" i="7"/>
  <c r="N5" i="7"/>
  <c r="N16" i="7"/>
  <c r="O27" i="7"/>
  <c r="M27" i="7"/>
  <c r="N27" i="7"/>
  <c r="Q26" i="7"/>
  <c r="Q8" i="7"/>
  <c r="N33" i="7"/>
  <c r="O25" i="7"/>
  <c r="P10" i="7"/>
  <c r="O21" i="7"/>
  <c r="O20" i="7" l="1"/>
  <c r="N20" i="7"/>
  <c r="M20" i="7"/>
  <c r="Q20" i="7"/>
</calcChain>
</file>

<file path=xl/sharedStrings.xml><?xml version="1.0" encoding="utf-8"?>
<sst xmlns="http://schemas.openxmlformats.org/spreadsheetml/2006/main" count="34" uniqueCount="7">
  <si>
    <t>J10/1LBS</t>
  </si>
  <si>
    <t>J16/1LBS</t>
  </si>
  <si>
    <t>J13/2LBS</t>
  </si>
  <si>
    <t>J12/2LBS</t>
  </si>
  <si>
    <t>Дата</t>
  </si>
  <si>
    <t>J8/1LBS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</si>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</sst>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_-* #,##0.000_-;\-* #,##0.000_-;_-* &quot;-&quot;??_-;_-@_-"/>
  </numFmts>
  <fonts count="4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 applyAlignment="1">
      <alignment vertical="top"/>
    </xf>
    <xf numFmtId="0" fontId="3" fillId="2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17" fontId="3" fillId="0" borderId="1" xfId="0" applyNumberFormat="1" applyFont="1" applyBorder="1"/>
    <xf numFmtId="164" fontId="0" fillId="0" borderId="1" xfId="0" applyNumberFormat="1" applyBorder="1"/>
    <xf numFmtId="164" fontId="3" fillId="3" borderId="1" xfId="2" applyNumberFormat="1" applyFont="1" applyFill="1" applyBorder="1"/>
    <xf numFmtId="0" fontId="2" fillId="0" borderId="0" xfId="1"/>
    <xf numFmtId="164" fontId="0" fillId="0" borderId="1" xfId="2" applyNumberFormat="1" applyFont="1" applyBorder="1"/>
    <xf numFmtId="9" fontId="0" fillId="0" borderId="1" xfId="3" applyFont="1" applyBorder="1"/>
    <xf numFmtId="164" fontId="0" fillId="0" borderId="0" xfId="2" applyNumberFormat="1" applyFont="1"/>
    <xf numFmtId="0" fontId="3" fillId="2" borderId="1" xfId="4" applyFont="1" applyFill="1" applyBorder="1"/>
    <xf numFmtId="164" fontId="3" fillId="3" borderId="1" xfId="5" applyNumberFormat="1" applyFont="1" applyFill="1" applyBorder="1"/>
    <xf numFmtId="0" fontId="3" fillId="4" borderId="1" xfId="4" applyFont="1" applyFill="1" applyBorder="1"/>
    <xf numFmtId="0" fontId="3" fillId="5" borderId="1" xfId="4" applyFont="1" applyFill="1" applyBorder="1"/>
    <xf numFmtId="0" fontId="1" fillId="0" borderId="0" xfId="4"/>
    <xf numFmtId="17" fontId="3" fillId="0" borderId="1" xfId="4" applyNumberFormat="1" applyFont="1" applyBorder="1"/>
    <xf numFmtId="164" fontId="0" fillId="0" borderId="1" xfId="5" applyNumberFormat="1" applyFont="1" applyBorder="1"/>
    <xf numFmtId="164" fontId="1" fillId="0" borderId="1" xfId="4" applyNumberFormat="1" applyBorder="1"/>
    <xf numFmtId="9" fontId="0" fillId="0" borderId="1" xfId="6" applyFont="1" applyBorder="1"/>
    <xf numFmtId="165" fontId="1" fillId="0" borderId="1" xfId="4" applyNumberFormat="1" applyBorder="1"/>
    <xf numFmtId="164" fontId="3" fillId="0" borderId="1" xfId="4" applyNumberFormat="1" applyFont="1" applyBorder="1"/>
    <xf numFmtId="164" fontId="3" fillId="0" borderId="0" xfId="4" applyNumberFormat="1" applyFont="1"/>
    <xf numFmtId="164" fontId="0" fillId="0" borderId="0" xfId="5" applyNumberFormat="1" applyFont="1"/>
    <xf numFmtId="166" fontId="0" fillId="0" borderId="0" xfId="5" applyNumberFormat="1" applyFont="1"/>
    <xf numFmtId="166" fontId="0" fillId="0" borderId="0" xfId="2" applyNumberFormat="1" applyFont="1"/>
  </cellXfs>
  <cellStyles count="7">
    <cellStyle name="Обычный" xfId="0" builtinId="0"/>
    <cellStyle name="Обычный 2" xfId="1" xr:uid="{9DCE204F-8307-4589-ABD3-ED433C46130B}"/>
    <cellStyle name="Обычный 3" xfId="4" xr:uid="{A7BA570E-B5AF-417B-B799-F59F4C0C0690}"/>
    <cellStyle name="Процентный 2" xfId="3" xr:uid="{F406E6BD-C3DE-484A-9009-26520A12798D}"/>
    <cellStyle name="Процентный 3" xfId="6" xr:uid="{76242A5E-3D4C-47F2-9144-3CBD1D0BC290}"/>
    <cellStyle name="Финансовый 2" xfId="2" xr:uid="{7E367784-5C4F-4649-A053-6FB87CDC8AB9}"/>
    <cellStyle name="Финансовый 3" xfId="5" xr:uid="{3B2BC4DC-83AD-4F6E-80EB-F8063302A35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301845731921897E-2"/>
          <c:y val="4.1231597408725222E-2"/>
          <c:w val="0.97728613542942577"/>
          <c:h val="0.734379429441770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ANTP!$G$1</c:f>
              <c:strCache>
                <c:ptCount val="1"/>
                <c:pt idx="0">
                  <c:v>J8/1LBS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ANTP!$G$24:$G$36</c:f>
              <c:numCache>
                <c:formatCode>_-* #\ ##0_-;\-* #\ ##0_-;_-*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6-481F-A214-AB52F5009F8B}"/>
            </c:ext>
          </c:extLst>
        </c:ser>
        <c:ser>
          <c:idx val="1"/>
          <c:order val="1"/>
          <c:tx>
            <c:strRef>
              <c:f>ANTP!$H$1</c:f>
              <c:strCache>
                <c:ptCount val="1"/>
                <c:pt idx="0">
                  <c:v>J10/1LBS</c:v>
                </c:pt>
              </c:strCache>
            </c:strRef>
          </c:tx>
          <c:spPr>
            <a:solidFill>
              <a:srgbClr val="C7B2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ANTP!$H$24:$H$36</c:f>
              <c:numCache>
                <c:formatCode>_-* #\ ##0_-;\-* #\ ##0_-;_-* "-"??_-;_-@_-</c:formatCode>
                <c:ptCount val="13"/>
                <c:pt idx="0">
                  <c:v>150.16061000000053</c:v>
                </c:pt>
                <c:pt idx="1">
                  <c:v>166.84046999999975</c:v>
                </c:pt>
                <c:pt idx="2">
                  <c:v>133.02968500000034</c:v>
                </c:pt>
                <c:pt idx="3">
                  <c:v>119.63229100000075</c:v>
                </c:pt>
                <c:pt idx="4">
                  <c:v>117.12512899999984</c:v>
                </c:pt>
                <c:pt idx="5">
                  <c:v>132.63526700000011</c:v>
                </c:pt>
                <c:pt idx="6">
                  <c:v>117.12512899999984</c:v>
                </c:pt>
                <c:pt idx="7">
                  <c:v>108.41331100000056</c:v>
                </c:pt>
                <c:pt idx="8">
                  <c:v>118.35650900000064</c:v>
                </c:pt>
                <c:pt idx="9">
                  <c:v>62.543813000000284</c:v>
                </c:pt>
                <c:pt idx="10">
                  <c:v>153.54411700000117</c:v>
                </c:pt>
                <c:pt idx="11">
                  <c:v>165.08872099999863</c:v>
                </c:pt>
                <c:pt idx="12">
                  <c:v>176.95710399999996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66-481F-A214-AB52F5009F8B}"/>
            </c:ext>
          </c:extLst>
        </c:ser>
        <c:ser>
          <c:idx val="2"/>
          <c:order val="2"/>
          <c:tx>
            <c:strRef>
              <c:f>ANTP!$I$1</c:f>
              <c:strCache>
                <c:ptCount val="1"/>
                <c:pt idx="0">
                  <c:v>J12/2LBS</c:v>
                </c:pt>
              </c:strCache>
            </c:strRef>
          </c:tx>
          <c:spPr>
            <a:solidFill>
              <a:srgbClr val="03C77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ANTP!$I$24:$I$36</c:f>
              <c:numCache>
                <c:formatCode>_-* #\ ##0_-;\-* #\ ##0_-;_-* "-"??_-;_-@_-</c:formatCode>
                <c:ptCount val="13"/>
                <c:pt idx="0">
                  <c:v>44.870962999999989</c:v>
                </c:pt>
                <c:pt idx="1">
                  <c:v>9.9410389999999946</c:v>
                </c:pt>
                <c:pt idx="2">
                  <c:v>7.7056229999999921</c:v>
                </c:pt>
                <c:pt idx="3">
                  <c:v>0</c:v>
                </c:pt>
                <c:pt idx="4">
                  <c:v>4.7780110000000011</c:v>
                </c:pt>
                <c:pt idx="5">
                  <c:v>0</c:v>
                </c:pt>
                <c:pt idx="6">
                  <c:v>4.7780110000000011</c:v>
                </c:pt>
                <c:pt idx="7">
                  <c:v>15.07007299999991</c:v>
                </c:pt>
                <c:pt idx="8">
                  <c:v>37.199808999999981</c:v>
                </c:pt>
                <c:pt idx="9">
                  <c:v>13.083762000000007</c:v>
                </c:pt>
                <c:pt idx="10">
                  <c:v>33.999098999999958</c:v>
                </c:pt>
                <c:pt idx="11">
                  <c:v>32.376652999999983</c:v>
                </c:pt>
                <c:pt idx="12">
                  <c:v>22.381274999999942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66-481F-A214-AB52F5009F8B}"/>
            </c:ext>
          </c:extLst>
        </c:ser>
        <c:ser>
          <c:idx val="3"/>
          <c:order val="3"/>
          <c:tx>
            <c:strRef>
              <c:f>ANTP!$J$1</c:f>
              <c:strCache>
                <c:ptCount val="1"/>
                <c:pt idx="0">
                  <c:v>J13/2LBS</c:v>
                </c:pt>
              </c:strCache>
            </c:strRef>
          </c:tx>
          <c:spPr>
            <a:solidFill>
              <a:srgbClr val="FF4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ANTP!$J$24:$J$36</c:f>
              <c:numCache>
                <c:formatCode>_-* #\ ##0_-;\-* #\ ##0_-;_-* "-"??_-;_-@_-</c:formatCode>
                <c:ptCount val="13"/>
                <c:pt idx="0">
                  <c:v>12.803484999999995</c:v>
                </c:pt>
                <c:pt idx="1">
                  <c:v>35.410060999999999</c:v>
                </c:pt>
                <c:pt idx="2">
                  <c:v>53.907826000000085</c:v>
                </c:pt>
                <c:pt idx="3">
                  <c:v>57.259992000000082</c:v>
                </c:pt>
                <c:pt idx="4">
                  <c:v>29.700972000000061</c:v>
                </c:pt>
                <c:pt idx="5">
                  <c:v>19.637596999999985</c:v>
                </c:pt>
                <c:pt idx="6">
                  <c:v>29.700972000000061</c:v>
                </c:pt>
                <c:pt idx="7">
                  <c:v>19.639984999999971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66-481F-A214-AB52F5009F8B}"/>
            </c:ext>
          </c:extLst>
        </c:ser>
        <c:ser>
          <c:idx val="4"/>
          <c:order val="4"/>
          <c:tx>
            <c:strRef>
              <c:f>ANTP!$K$1</c:f>
              <c:strCache>
                <c:ptCount val="1"/>
                <c:pt idx="0">
                  <c:v>J16/1LBS</c:v>
                </c:pt>
              </c:strCache>
            </c:strRef>
          </c:tx>
          <c:spPr>
            <a:solidFill>
              <a:srgbClr val="0742C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ANTP!$K$24:$K$36</c:f>
              <c:numCache>
                <c:formatCode>_-* #\ ##0_-;\-* #\ ##0_-;_-* "-"??_-;_-@_-</c:formatCode>
                <c:ptCount val="13"/>
                <c:pt idx="0">
                  <c:v>146.88511400000058</c:v>
                </c:pt>
                <c:pt idx="1">
                  <c:v>131.32383100000047</c:v>
                </c:pt>
                <c:pt idx="2">
                  <c:v>121.35079300000031</c:v>
                </c:pt>
                <c:pt idx="3">
                  <c:v>124.89251500000005</c:v>
                </c:pt>
                <c:pt idx="4">
                  <c:v>119.41560500000057</c:v>
                </c:pt>
                <c:pt idx="5">
                  <c:v>139.60806700000094</c:v>
                </c:pt>
                <c:pt idx="6">
                  <c:v>119.41560500000057</c:v>
                </c:pt>
                <c:pt idx="7">
                  <c:v>179.41958300000059</c:v>
                </c:pt>
                <c:pt idx="8">
                  <c:v>78.203292999999746</c:v>
                </c:pt>
                <c:pt idx="9">
                  <c:v>189.3322780000006</c:v>
                </c:pt>
                <c:pt idx="10">
                  <c:v>46.775720000000057</c:v>
                </c:pt>
                <c:pt idx="11">
                  <c:v>59.891339999999992</c:v>
                </c:pt>
                <c:pt idx="12">
                  <c:v>71.598946999999825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66-481F-A214-AB52F5009F8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9709503"/>
        <c:axId val="751210223"/>
      </c:barChart>
      <c:dateAx>
        <c:axId val="6297095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210223"/>
        <c:crosses val="autoZero"/>
        <c:auto val="1"/>
        <c:lblOffset val="100"/>
        <c:baseTimeUnit val="months"/>
      </c:dateAx>
      <c:valAx>
        <c:axId val="751210223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62970950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458333333333333E-2"/>
          <c:y val="0.10706815298537173"/>
          <c:w val="0.9770833333333333"/>
          <c:h val="0.76414625091292077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ANTP!$M$24:$M$36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C-4E6B-8505-D3886C18D13F}"/>
            </c:ext>
          </c:extLst>
        </c:ser>
        <c:ser>
          <c:idx val="1"/>
          <c:order val="1"/>
          <c:spPr>
            <a:solidFill>
              <a:srgbClr val="C7B2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ANTP!$N$24:$N$36</c:f>
              <c:numCache>
                <c:formatCode>0%</c:formatCode>
                <c:ptCount val="13"/>
                <c:pt idx="0">
                  <c:v>0.42332131593576267</c:v>
                </c:pt>
                <c:pt idx="1">
                  <c:v>0.48568556028147236</c:v>
                </c:pt>
                <c:pt idx="2">
                  <c:v>0.42098810652142704</c:v>
                </c:pt>
                <c:pt idx="3">
                  <c:v>0.39641589567411012</c:v>
                </c:pt>
                <c:pt idx="4">
                  <c:v>0.43216460520471889</c:v>
                </c:pt>
                <c:pt idx="5">
                  <c:v>0.45441566376256226</c:v>
                </c:pt>
                <c:pt idx="6">
                  <c:v>0.43216460520471889</c:v>
                </c:pt>
                <c:pt idx="7">
                  <c:v>0.33612053938168274</c:v>
                </c:pt>
                <c:pt idx="8">
                  <c:v>0.50631718838717799</c:v>
                </c:pt>
                <c:pt idx="9">
                  <c:v>0.23605014983156744</c:v>
                </c:pt>
                <c:pt idx="10">
                  <c:v>0.65527831263283132</c:v>
                </c:pt>
                <c:pt idx="11">
                  <c:v>0.64147819745631163</c:v>
                </c:pt>
                <c:pt idx="12">
                  <c:v>0.65312929234416428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C-4E6B-8505-D3886C18D13F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ANTP!$O$24:$O$36</c:f>
              <c:numCache>
                <c:formatCode>0%</c:formatCode>
                <c:ptCount val="13"/>
                <c:pt idx="0">
                  <c:v>0.12649678970047368</c:v>
                </c:pt>
                <c:pt idx="1">
                  <c:v>2.8939136268885914E-2</c:v>
                </c:pt>
                <c:pt idx="2">
                  <c:v>2.4385351557721469E-2</c:v>
                </c:pt>
                <c:pt idx="3">
                  <c:v>0</c:v>
                </c:pt>
                <c:pt idx="4">
                  <c:v>1.7629754221904059E-2</c:v>
                </c:pt>
                <c:pt idx="5">
                  <c:v>0</c:v>
                </c:pt>
                <c:pt idx="6">
                  <c:v>1.7629754221904059E-2</c:v>
                </c:pt>
                <c:pt idx="7">
                  <c:v>4.6722685789766884E-2</c:v>
                </c:pt>
                <c:pt idx="8">
                  <c:v>0.15913702474462074</c:v>
                </c:pt>
                <c:pt idx="9">
                  <c:v>4.9380167794703465E-2</c:v>
                </c:pt>
                <c:pt idx="10">
                  <c:v>0.14509753065795666</c:v>
                </c:pt>
                <c:pt idx="11">
                  <c:v>0.12580457877621237</c:v>
                </c:pt>
                <c:pt idx="12">
                  <c:v>8.2606835058230285E-2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3C-4E6B-8505-D3886C18D13F}"/>
            </c:ext>
          </c:extLst>
        </c:ser>
        <c:ser>
          <c:idx val="3"/>
          <c:order val="3"/>
          <c:spPr>
            <a:solidFill>
              <a:srgbClr val="FF4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ANTP!$P$24:$P$36</c:f>
              <c:numCache>
                <c:formatCode>0%</c:formatCode>
                <c:ptCount val="13"/>
                <c:pt idx="0">
                  <c:v>3.6094606426837088E-2</c:v>
                </c:pt>
                <c:pt idx="1">
                  <c:v>0.10308143651469058</c:v>
                </c:pt>
                <c:pt idx="2">
                  <c:v>0.17059766468233412</c:v>
                </c:pt>
                <c:pt idx="3">
                  <c:v>0.18973782768209524</c:v>
                </c:pt>
                <c:pt idx="4">
                  <c:v>0.10958970929779256</c:v>
                </c:pt>
                <c:pt idx="5">
                  <c:v>6.7279479110610052E-2</c:v>
                </c:pt>
                <c:pt idx="6">
                  <c:v>0.10958970929779256</c:v>
                </c:pt>
                <c:pt idx="7">
                  <c:v>6.0891068548290302E-2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3C-4E6B-8505-D3886C18D13F}"/>
            </c:ext>
          </c:extLst>
        </c:ser>
        <c:ser>
          <c:idx val="4"/>
          <c:order val="4"/>
          <c:spPr>
            <a:solidFill>
              <a:srgbClr val="074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ANTP!$A$24:$A$36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ANTP!$Q$24:$Q$36</c:f>
              <c:numCache>
                <c:formatCode>0%</c:formatCode>
                <c:ptCount val="13"/>
                <c:pt idx="0">
                  <c:v>0.41408728793692662</c:v>
                </c:pt>
                <c:pt idx="1">
                  <c:v>0.38229386693495115</c:v>
                </c:pt>
                <c:pt idx="2">
                  <c:v>0.38402887723851742</c:v>
                </c:pt>
                <c:pt idx="3">
                  <c:v>0.41384627664379464</c:v>
                </c:pt>
                <c:pt idx="4">
                  <c:v>0.44061593127558452</c:v>
                </c:pt>
                <c:pt idx="5">
                  <c:v>0.47830485712682763</c:v>
                </c:pt>
                <c:pt idx="6">
                  <c:v>0.44061593127558452</c:v>
                </c:pt>
                <c:pt idx="7">
                  <c:v>0.55626570628026006</c:v>
                </c:pt>
                <c:pt idx="8">
                  <c:v>0.33454578686820119</c:v>
                </c:pt>
                <c:pt idx="9">
                  <c:v>0.7145696823737292</c:v>
                </c:pt>
                <c:pt idx="10">
                  <c:v>0.19962415670921202</c:v>
                </c:pt>
                <c:pt idx="11">
                  <c:v>0.232717223767476</c:v>
                </c:pt>
                <c:pt idx="12">
                  <c:v>0.26426387259760548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3C-4E6B-8505-D3886C18D1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3061215"/>
        <c:axId val="751223615"/>
      </c:barChart>
      <c:dateAx>
        <c:axId val="63306121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223615"/>
        <c:crosses val="autoZero"/>
        <c:auto val="1"/>
        <c:lblOffset val="100"/>
        <c:baseTimeUnit val="months"/>
      </c:dateAx>
      <c:valAx>
        <c:axId val="7512236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3061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281979509292136E-2"/>
          <c:y val="4.7531151245085349E-2"/>
          <c:w val="0.97728613542942577"/>
          <c:h val="0.734379429441770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XIVA!$G$1</c:f>
              <c:strCache>
                <c:ptCount val="1"/>
                <c:pt idx="0">
                  <c:v>J8/1LBS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XIVA!$G$4:$G$16</c:f>
              <c:numCache>
                <c:formatCode>_-* #\ ##0_-;\-* #\ ##0_-;_-*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1-4E17-B924-F2298125A5FF}"/>
            </c:ext>
          </c:extLst>
        </c:ser>
        <c:ser>
          <c:idx val="1"/>
          <c:order val="1"/>
          <c:tx>
            <c:strRef>
              <c:f>XIVA!$H$1</c:f>
              <c:strCache>
                <c:ptCount val="1"/>
                <c:pt idx="0">
                  <c:v>J10/1LBS</c:v>
                </c:pt>
              </c:strCache>
            </c:strRef>
          </c:tx>
          <c:spPr>
            <a:solidFill>
              <a:srgbClr val="C7B2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XIVA!$H$4:$H$16</c:f>
              <c:numCache>
                <c:formatCode>_-* #\ ##0_-;\-* #\ ##0_-;_-* "-"??_-;_-@_-</c:formatCode>
                <c:ptCount val="13"/>
                <c:pt idx="0">
                  <c:v>71.136832000000254</c:v>
                </c:pt>
                <c:pt idx="1">
                  <c:v>66.701449000000267</c:v>
                </c:pt>
                <c:pt idx="2">
                  <c:v>62.542469000000033</c:v>
                </c:pt>
                <c:pt idx="3">
                  <c:v>54.130270999999865</c:v>
                </c:pt>
                <c:pt idx="4">
                  <c:v>58.796240999999675</c:v>
                </c:pt>
                <c:pt idx="5">
                  <c:v>56.020413999999739</c:v>
                </c:pt>
                <c:pt idx="6">
                  <c:v>55.568250000000354</c:v>
                </c:pt>
                <c:pt idx="7">
                  <c:v>57.420701000000399</c:v>
                </c:pt>
                <c:pt idx="8">
                  <c:v>39.47136800000002</c:v>
                </c:pt>
                <c:pt idx="9">
                  <c:v>12.669854999999982</c:v>
                </c:pt>
                <c:pt idx="10">
                  <c:v>39.678715000000047</c:v>
                </c:pt>
                <c:pt idx="11">
                  <c:v>77.951985000000292</c:v>
                </c:pt>
                <c:pt idx="12">
                  <c:v>73.418315000000419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1-4E17-B924-F2298125A5FF}"/>
            </c:ext>
          </c:extLst>
        </c:ser>
        <c:ser>
          <c:idx val="2"/>
          <c:order val="2"/>
          <c:tx>
            <c:strRef>
              <c:f>XIVA!$I$1</c:f>
              <c:strCache>
                <c:ptCount val="1"/>
                <c:pt idx="0">
                  <c:v>J12/2LBS</c:v>
                </c:pt>
              </c:strCache>
            </c:strRef>
          </c:tx>
          <c:spPr>
            <a:solidFill>
              <a:srgbClr val="03C77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XIVA!$I$4:$I$16</c:f>
              <c:numCache>
                <c:formatCode>_-* #\ ##0_-;\-* #\ ##0_-;_-*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0.77549999999999997</c:v>
                </c:pt>
                <c:pt idx="4">
                  <c:v>1.0189999999999999E-2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31-4E17-B924-F2298125A5FF}"/>
            </c:ext>
          </c:extLst>
        </c:ser>
        <c:ser>
          <c:idx val="3"/>
          <c:order val="3"/>
          <c:tx>
            <c:strRef>
              <c:f>XIVA!$J$1</c:f>
              <c:strCache>
                <c:ptCount val="1"/>
                <c:pt idx="0">
                  <c:v>J13/2LBS</c:v>
                </c:pt>
              </c:strCache>
            </c:strRef>
          </c:tx>
          <c:spPr>
            <a:solidFill>
              <a:srgbClr val="FF4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XIVA!$J$4:$J$16</c:f>
              <c:numCache>
                <c:formatCode>_-* #\ ##0_-;\-* #\ ##0_-;_-* "-"??_-;_-@_-</c:formatCode>
                <c:ptCount val="13"/>
                <c:pt idx="0">
                  <c:v>101.31581399999972</c:v>
                </c:pt>
                <c:pt idx="1">
                  <c:v>36.246301999999972</c:v>
                </c:pt>
                <c:pt idx="2">
                  <c:v>50.258360999999873</c:v>
                </c:pt>
                <c:pt idx="3">
                  <c:v>50.740252999999896</c:v>
                </c:pt>
                <c:pt idx="4">
                  <c:v>60.673060999999905</c:v>
                </c:pt>
                <c:pt idx="5">
                  <c:v>55.749349999999929</c:v>
                </c:pt>
                <c:pt idx="6">
                  <c:v>58.293080000000238</c:v>
                </c:pt>
                <c:pt idx="7">
                  <c:v>63.81314399999998</c:v>
                </c:pt>
                <c:pt idx="8">
                  <c:v>57.124033999999952</c:v>
                </c:pt>
                <c:pt idx="9">
                  <c:v>102.03445599999959</c:v>
                </c:pt>
                <c:pt idx="10">
                  <c:v>99.601084000000341</c:v>
                </c:pt>
                <c:pt idx="11">
                  <c:v>82.524799000000002</c:v>
                </c:pt>
                <c:pt idx="12">
                  <c:v>53.414476000000136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31-4E17-B924-F2298125A5FF}"/>
            </c:ext>
          </c:extLst>
        </c:ser>
        <c:ser>
          <c:idx val="4"/>
          <c:order val="4"/>
          <c:tx>
            <c:strRef>
              <c:f>XIVA!$K$1</c:f>
              <c:strCache>
                <c:ptCount val="1"/>
                <c:pt idx="0">
                  <c:v>J16/1LBS</c:v>
                </c:pt>
              </c:strCache>
            </c:strRef>
          </c:tx>
          <c:spPr>
            <a:solidFill>
              <a:srgbClr val="0742C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XIVA!$K$4:$K$16</c:f>
              <c:numCache>
                <c:formatCode>_-* #\ ##0_-;\-* #\ ##0_-;_-* "-"??_-;_-@_-</c:formatCode>
                <c:ptCount val="13"/>
                <c:pt idx="0">
                  <c:v>84.89647799999959</c:v>
                </c:pt>
                <c:pt idx="1">
                  <c:v>79.64609300000032</c:v>
                </c:pt>
                <c:pt idx="2">
                  <c:v>79.924179000000009</c:v>
                </c:pt>
                <c:pt idx="3">
                  <c:v>71.401584999999955</c:v>
                </c:pt>
                <c:pt idx="4">
                  <c:v>48.726744000000096</c:v>
                </c:pt>
                <c:pt idx="5">
                  <c:v>55.119132999999891</c:v>
                </c:pt>
                <c:pt idx="6">
                  <c:v>66.699850000000225</c:v>
                </c:pt>
                <c:pt idx="7">
                  <c:v>64.040312000000128</c:v>
                </c:pt>
                <c:pt idx="8">
                  <c:v>66.831097999999514</c:v>
                </c:pt>
                <c:pt idx="9">
                  <c:v>56.719895999999899</c:v>
                </c:pt>
                <c:pt idx="10">
                  <c:v>60.793718000000055</c:v>
                </c:pt>
                <c:pt idx="11">
                  <c:v>62.956335000000102</c:v>
                </c:pt>
                <c:pt idx="12">
                  <c:v>89.099026999999339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31-4E17-B924-F2298125A5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9709503"/>
        <c:axId val="751210223"/>
      </c:barChart>
      <c:dateAx>
        <c:axId val="6297095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210223"/>
        <c:crosses val="autoZero"/>
        <c:auto val="1"/>
        <c:lblOffset val="100"/>
        <c:baseTimeUnit val="months"/>
      </c:dateAx>
      <c:valAx>
        <c:axId val="751210223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62970950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458333333333333E-2"/>
          <c:y val="0.10706815298537173"/>
          <c:w val="0.9770833333333333"/>
          <c:h val="0.76414625091292077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XIVA!$M$4:$M$16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C-4E5C-B431-5BFF839F544D}"/>
            </c:ext>
          </c:extLst>
        </c:ser>
        <c:ser>
          <c:idx val="1"/>
          <c:order val="1"/>
          <c:spPr>
            <a:solidFill>
              <a:srgbClr val="C7B2A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XIVA!$N$4:$N$16</c:f>
              <c:numCache>
                <c:formatCode>0%</c:formatCode>
                <c:ptCount val="13"/>
                <c:pt idx="0">
                  <c:v>0.2764215043529753</c:v>
                </c:pt>
                <c:pt idx="1">
                  <c:v>0.36529954974823831</c:v>
                </c:pt>
                <c:pt idx="2">
                  <c:v>0.32451662254170688</c:v>
                </c:pt>
                <c:pt idx="3">
                  <c:v>0.30573850336493363</c:v>
                </c:pt>
                <c:pt idx="4">
                  <c:v>0.34954852090025834</c:v>
                </c:pt>
                <c:pt idx="5">
                  <c:v>0.33567490112898218</c:v>
                </c:pt>
                <c:pt idx="6">
                  <c:v>0.30775302864104065</c:v>
                </c:pt>
                <c:pt idx="7">
                  <c:v>0.30992288363239046</c:v>
                </c:pt>
                <c:pt idx="8">
                  <c:v>0.24152366966189781</c:v>
                </c:pt>
                <c:pt idx="9">
                  <c:v>7.3909369170948078E-2</c:v>
                </c:pt>
                <c:pt idx="10">
                  <c:v>0.19832067529457165</c:v>
                </c:pt>
                <c:pt idx="11">
                  <c:v>0.34888285742455283</c:v>
                </c:pt>
                <c:pt idx="12">
                  <c:v>0.34000693218819866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2C-4E5C-B431-5BFF839F544D}"/>
            </c:ext>
          </c:extLst>
        </c:ser>
        <c:ser>
          <c:idx val="2"/>
          <c:order val="2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XIVA!$O$4:$O$16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4.380177763372118E-3</c:v>
                </c:pt>
                <c:pt idx="4">
                  <c:v>6.058039370193159E-5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2C-4E5C-B431-5BFF839F544D}"/>
            </c:ext>
          </c:extLst>
        </c:ser>
        <c:ser>
          <c:idx val="3"/>
          <c:order val="3"/>
          <c:spPr>
            <a:solidFill>
              <a:srgbClr val="FF4B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XIVA!$P$4:$P$16</c:f>
              <c:numCache>
                <c:formatCode>0%</c:formatCode>
                <c:ptCount val="13"/>
                <c:pt idx="0">
                  <c:v>0.39369014522077755</c:v>
                </c:pt>
                <c:pt idx="1">
                  <c:v>0.19850779854330611</c:v>
                </c:pt>
                <c:pt idx="2">
                  <c:v>0.26077757765210374</c:v>
                </c:pt>
                <c:pt idx="3">
                  <c:v>0.28659100954026429</c:v>
                </c:pt>
                <c:pt idx="4">
                  <c:v>0.36070637119541765</c:v>
                </c:pt>
                <c:pt idx="5">
                  <c:v>0.33405068283242401</c:v>
                </c:pt>
                <c:pt idx="6">
                  <c:v>0.3228439247018654</c:v>
                </c:pt>
                <c:pt idx="7">
                  <c:v>0.34442549912667964</c:v>
                </c:pt>
                <c:pt idx="8">
                  <c:v>0.349539603430289</c:v>
                </c:pt>
                <c:pt idx="9">
                  <c:v>0.59521614704042292</c:v>
                </c:pt>
                <c:pt idx="10">
                  <c:v>0.49782242794282527</c:v>
                </c:pt>
                <c:pt idx="11">
                  <c:v>0.36934899968880552</c:v>
                </c:pt>
                <c:pt idx="12">
                  <c:v>0.24736732406893439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2C-4E5C-B431-5BFF839F544D}"/>
            </c:ext>
          </c:extLst>
        </c:ser>
        <c:ser>
          <c:idx val="4"/>
          <c:order val="4"/>
          <c:spPr>
            <a:solidFill>
              <a:srgbClr val="074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XIVA!$A$4:$A$16</c:f>
              <c:numCache>
                <c:formatCode>mmm\-yy</c:formatCode>
                <c:ptCount val="13"/>
                <c:pt idx="0">
                  <c:v>45566</c:v>
                </c:pt>
                <c:pt idx="1">
                  <c:v>45597</c:v>
                </c:pt>
                <c:pt idx="2">
                  <c:v>45627</c:v>
                </c:pt>
                <c:pt idx="3">
                  <c:v>45658</c:v>
                </c:pt>
                <c:pt idx="4">
                  <c:v>45689</c:v>
                </c:pt>
                <c:pt idx="5">
                  <c:v>45717</c:v>
                </c:pt>
                <c:pt idx="6">
                  <c:v>45748</c:v>
                </c:pt>
                <c:pt idx="7">
                  <c:v>45778</c:v>
                </c:pt>
                <c:pt idx="8">
                  <c:v>45809</c:v>
                </c:pt>
                <c:pt idx="9">
                  <c:v>45839</c:v>
                </c:pt>
                <c:pt idx="10">
                  <c:v>45870</c:v>
                </c:pt>
                <c:pt idx="11">
                  <c:v>45901</c:v>
                </c:pt>
                <c:pt idx="12">
                  <c:v>45931</c:v>
                </c:pt>
              </c:numCache>
            </c:numRef>
          </c:cat>
          <c:val>
            <c:numRef>
              <c:f>XIVA!$Q$4:$Q$16</c:f>
              <c:numCache>
                <c:formatCode>0%</c:formatCode>
                <c:ptCount val="13"/>
                <c:pt idx="0">
                  <c:v>0.32988835042624715</c:v>
                </c:pt>
                <c:pt idx="1">
                  <c:v>0.43619265170845561</c:v>
                </c:pt>
                <c:pt idx="2">
                  <c:v>0.41470579980618938</c:v>
                </c:pt>
                <c:pt idx="3">
                  <c:v>0.40329030933143001</c:v>
                </c:pt>
                <c:pt idx="4">
                  <c:v>0.28968452751062207</c:v>
                </c:pt>
                <c:pt idx="5">
                  <c:v>0.33027441603859387</c:v>
                </c:pt>
                <c:pt idx="6">
                  <c:v>0.36940304665709384</c:v>
                </c:pt>
                <c:pt idx="7">
                  <c:v>0.34565161724092991</c:v>
                </c:pt>
                <c:pt idx="8">
                  <c:v>0.40893672690781313</c:v>
                </c:pt>
                <c:pt idx="9">
                  <c:v>0.33087448378862894</c:v>
                </c:pt>
                <c:pt idx="10">
                  <c:v>0.30385689676260313</c:v>
                </c:pt>
                <c:pt idx="11">
                  <c:v>0.28176814288664159</c:v>
                </c:pt>
                <c:pt idx="12">
                  <c:v>0.41262574374286692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2C-4E5C-B431-5BFF839F54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33061215"/>
        <c:axId val="751223615"/>
      </c:barChart>
      <c:dateAx>
        <c:axId val="63306121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1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1223615"/>
        <c:crosses val="autoZero"/>
        <c:auto val="1"/>
        <c:lblOffset val="100"/>
        <c:baseTimeUnit val="months"/>
      </c:dateAx>
      <c:valAx>
        <c:axId val="75122361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3061215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468085</xdr:colOff>
      <xdr:row>37</xdr:row>
      <xdr:rowOff>76999</xdr:rowOff>
    </xdr:from>
    <xdr:to>
      <xdr:col>39</xdr:col>
      <xdr:colOff>87085</xdr:colOff>
      <xdr:row>56</xdr:row>
      <xdr:rowOff>40181</xdr:rowOff>
    </xdr:to>
    <xdr:graphicFrame macro="">
      <xdr:nvGraphicFramePr>
        <xdr:cNvPr id="2" name="Объект 4">
          <a:extLst>
            <a:ext uri="{FF2B5EF4-FFF2-40B4-BE49-F238E27FC236}">
              <a16:creationId xmlns:a16="http://schemas.microsoft.com/office/drawing/2014/main" id="{27393CC6-58FD-4660-A4E9-E450BB71B6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56</xdr:row>
      <xdr:rowOff>155121</xdr:rowOff>
    </xdr:from>
    <xdr:to>
      <xdr:col>19</xdr:col>
      <xdr:colOff>0</xdr:colOff>
      <xdr:row>73</xdr:row>
      <xdr:rowOff>124698</xdr:rowOff>
    </xdr:to>
    <xdr:graphicFrame macro="">
      <xdr:nvGraphicFramePr>
        <xdr:cNvPr id="3" name="Объект 5">
          <a:extLst>
            <a:ext uri="{FF2B5EF4-FFF2-40B4-BE49-F238E27FC236}">
              <a16:creationId xmlns:a16="http://schemas.microsoft.com/office/drawing/2014/main" id="{4F0E7704-2661-4828-BA5B-0DA4FF7A5D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170663</xdr:rowOff>
    </xdr:from>
    <xdr:to>
      <xdr:col>19</xdr:col>
      <xdr:colOff>0</xdr:colOff>
      <xdr:row>47</xdr:row>
      <xdr:rowOff>133843</xdr:rowOff>
    </xdr:to>
    <xdr:graphicFrame macro="">
      <xdr:nvGraphicFramePr>
        <xdr:cNvPr id="2" name="Объект 4">
          <a:extLst>
            <a:ext uri="{FF2B5EF4-FFF2-40B4-BE49-F238E27FC236}">
              <a16:creationId xmlns:a16="http://schemas.microsoft.com/office/drawing/2014/main" id="{6B065320-9AEB-4627-8B6C-C1DB596B9C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171944</xdr:rowOff>
    </xdr:from>
    <xdr:to>
      <xdr:col>19</xdr:col>
      <xdr:colOff>0</xdr:colOff>
      <xdr:row>56</xdr:row>
      <xdr:rowOff>141523</xdr:rowOff>
    </xdr:to>
    <xdr:graphicFrame macro="">
      <xdr:nvGraphicFramePr>
        <xdr:cNvPr id="3" name="Объект 5">
          <a:extLst>
            <a:ext uri="{FF2B5EF4-FFF2-40B4-BE49-F238E27FC236}">
              <a16:creationId xmlns:a16="http://schemas.microsoft.com/office/drawing/2014/main" id="{7AE3A701-B85E-428F-AC27-AA6BE187BF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FBB8-C312-4EFC-B17C-925978ABE770}">
  <dimension ref="A1:Q38"/>
  <sheetViews>
    <sheetView zoomScale="70" zoomScaleNormal="70" workbookViewId="0">
      <pane ySplit="1" topLeftCell="A8" activePane="bottomLeft" state="frozen"/>
      <selection pane="bottomLeft" activeCell="C38" sqref="C38"/>
    </sheetView>
  </sheetViews>
  <sheetFormatPr defaultRowHeight="14.4" x14ac:dyDescent="0.3"/>
  <cols>
    <col min="1" max="1" width="8.88671875" style="15"/>
    <col min="2" max="2" width="8.88671875" style="23"/>
    <col min="3" max="3" width="13.33203125" style="23" bestFit="1" customWidth="1"/>
    <col min="4" max="4" width="10.33203125" style="23" bestFit="1" customWidth="1"/>
    <col min="5" max="5" width="8.88671875" style="23"/>
    <col min="6" max="6" width="11.44140625" style="23" bestFit="1" customWidth="1"/>
    <col min="7" max="7" width="8.88671875" style="15"/>
    <col min="8" max="17" width="10.21875" style="15" bestFit="1" customWidth="1"/>
    <col min="18" max="16384" width="8.88671875" style="15"/>
  </cols>
  <sheetData>
    <row r="1" spans="1:17" x14ac:dyDescent="0.3">
      <c r="A1" s="11" t="s">
        <v>4</v>
      </c>
      <c r="B1" s="12" t="s">
        <v>5</v>
      </c>
      <c r="C1" s="12" t="s">
        <v>0</v>
      </c>
      <c r="D1" s="12" t="s">
        <v>3</v>
      </c>
      <c r="E1" s="12" t="s">
        <v>2</v>
      </c>
      <c r="F1" s="12" t="s">
        <v>1</v>
      </c>
      <c r="G1" s="13" t="s">
        <v>5</v>
      </c>
      <c r="H1" s="13" t="s">
        <v>0</v>
      </c>
      <c r="I1" s="13" t="s">
        <v>3</v>
      </c>
      <c r="J1" s="13" t="s">
        <v>2</v>
      </c>
      <c r="K1" s="13" t="s">
        <v>1</v>
      </c>
      <c r="L1" s="11" t="s">
        <v>6</v>
      </c>
      <c r="M1" s="14" t="s">
        <v>5</v>
      </c>
      <c r="N1" s="14" t="s">
        <v>0</v>
      </c>
      <c r="O1" s="14" t="s">
        <v>3</v>
      </c>
      <c r="P1" s="14" t="s">
        <v>2</v>
      </c>
      <c r="Q1" s="14" t="s">
        <v>1</v>
      </c>
    </row>
    <row r="2" spans="1:17" x14ac:dyDescent="0.3">
      <c r="A2" s="16">
        <v>44896</v>
      </c>
      <c r="B2" s="17">
        <v>0</v>
      </c>
      <c r="C2" s="17">
        <v>-184603.32999999911</v>
      </c>
      <c r="D2" s="17">
        <v>-47281.069999999927</v>
      </c>
      <c r="E2" s="17">
        <v>-17784.279999999952</v>
      </c>
      <c r="F2" s="17">
        <v>-134747.09999999992</v>
      </c>
      <c r="G2" s="18">
        <f>B2/(-1000)</f>
        <v>0</v>
      </c>
      <c r="H2" s="18">
        <f t="shared" ref="H2:K17" si="0">C2/(-1000)</f>
        <v>184.60332999999912</v>
      </c>
      <c r="I2" s="18">
        <f t="shared" si="0"/>
        <v>47.281069999999929</v>
      </c>
      <c r="J2" s="18">
        <f t="shared" si="0"/>
        <v>17.784279999999953</v>
      </c>
      <c r="K2" s="18">
        <f t="shared" si="0"/>
        <v>134.74709999999993</v>
      </c>
      <c r="L2" s="18">
        <f>SUM(G2:K2)</f>
        <v>384.41577999999896</v>
      </c>
      <c r="M2" s="19">
        <f>G2/$L2</f>
        <v>0</v>
      </c>
      <c r="N2" s="19">
        <f t="shared" ref="N2:Q17" si="1">H2/$L2</f>
        <v>0.48021787763238966</v>
      </c>
      <c r="O2" s="19">
        <f t="shared" si="1"/>
        <v>0.12299461276017352</v>
      </c>
      <c r="P2" s="19">
        <f t="shared" si="1"/>
        <v>4.626313727287678E-2</v>
      </c>
      <c r="Q2" s="19">
        <f t="shared" si="1"/>
        <v>0.35052437233455996</v>
      </c>
    </row>
    <row r="3" spans="1:17" x14ac:dyDescent="0.3">
      <c r="A3" s="16">
        <v>44927</v>
      </c>
      <c r="B3" s="17">
        <v>0</v>
      </c>
      <c r="C3" s="17">
        <v>-184105.25000000029</v>
      </c>
      <c r="D3" s="17">
        <v>-37213.109999999935</v>
      </c>
      <c r="E3" s="17">
        <v>-21910.420000000042</v>
      </c>
      <c r="F3" s="17">
        <v>-90922.396000000503</v>
      </c>
      <c r="G3" s="18">
        <f t="shared" ref="G3:K18" si="2">B3/(-1000)</f>
        <v>0</v>
      </c>
      <c r="H3" s="18">
        <f t="shared" si="0"/>
        <v>184.1052500000003</v>
      </c>
      <c r="I3" s="18">
        <f t="shared" si="0"/>
        <v>37.213109999999936</v>
      </c>
      <c r="J3" s="18">
        <f t="shared" si="0"/>
        <v>21.910420000000041</v>
      </c>
      <c r="K3" s="18">
        <f t="shared" si="0"/>
        <v>90.922396000000504</v>
      </c>
      <c r="L3" s="18">
        <f t="shared" ref="L3:L35" si="3">SUM(G3:K3)</f>
        <v>334.15117600000076</v>
      </c>
      <c r="M3" s="19">
        <f t="shared" ref="M3:Q18" si="4">G3/$L3</f>
        <v>0</v>
      </c>
      <c r="N3" s="19">
        <f t="shared" si="1"/>
        <v>0.55096394453509234</v>
      </c>
      <c r="O3" s="19">
        <f t="shared" si="1"/>
        <v>0.11136609017949364</v>
      </c>
      <c r="P3" s="19">
        <f t="shared" si="1"/>
        <v>6.5570381233672481E-2</v>
      </c>
      <c r="Q3" s="19">
        <f t="shared" si="1"/>
        <v>0.27209958405174162</v>
      </c>
    </row>
    <row r="4" spans="1:17" x14ac:dyDescent="0.3">
      <c r="A4" s="16">
        <v>44958</v>
      </c>
      <c r="B4" s="17">
        <v>-2707.7599999999998</v>
      </c>
      <c r="C4" s="17">
        <v>-179630.1000000014</v>
      </c>
      <c r="D4" s="17">
        <v>-54909.340000000026</v>
      </c>
      <c r="E4" s="17">
        <v>-17479.999999999993</v>
      </c>
      <c r="F4" s="17">
        <v>-98559.803999999611</v>
      </c>
      <c r="G4" s="18">
        <f t="shared" si="2"/>
        <v>2.7077599999999999</v>
      </c>
      <c r="H4" s="18">
        <f t="shared" si="0"/>
        <v>179.63010000000139</v>
      </c>
      <c r="I4" s="18">
        <f t="shared" si="0"/>
        <v>54.909340000000029</v>
      </c>
      <c r="J4" s="18">
        <f t="shared" si="0"/>
        <v>17.479999999999993</v>
      </c>
      <c r="K4" s="18">
        <f t="shared" si="0"/>
        <v>98.559803999999616</v>
      </c>
      <c r="L4" s="18">
        <f t="shared" si="3"/>
        <v>353.28700400000105</v>
      </c>
      <c r="M4" s="19">
        <f t="shared" si="4"/>
        <v>7.6644766700786765E-3</v>
      </c>
      <c r="N4" s="19">
        <f t="shared" si="1"/>
        <v>0.50845374431039325</v>
      </c>
      <c r="O4" s="19">
        <f t="shared" si="1"/>
        <v>0.15542417178753584</v>
      </c>
      <c r="P4" s="19">
        <f t="shared" si="1"/>
        <v>4.9478185730262358E-2</v>
      </c>
      <c r="Q4" s="19">
        <f t="shared" si="1"/>
        <v>0.27897942150172989</v>
      </c>
    </row>
    <row r="5" spans="1:17" x14ac:dyDescent="0.3">
      <c r="A5" s="16">
        <v>44986</v>
      </c>
      <c r="B5" s="17">
        <v>-3660.2859999999919</v>
      </c>
      <c r="C5" s="17">
        <v>-188911.33299999899</v>
      </c>
      <c r="D5" s="17">
        <v>-50515.859999999841</v>
      </c>
      <c r="E5" s="17">
        <v>-37558.835999999952</v>
      </c>
      <c r="F5" s="17">
        <v>-70343.790999999808</v>
      </c>
      <c r="G5" s="18">
        <f t="shared" si="2"/>
        <v>3.6602859999999917</v>
      </c>
      <c r="H5" s="18">
        <f t="shared" si="0"/>
        <v>188.91133299999899</v>
      </c>
      <c r="I5" s="18">
        <f t="shared" si="0"/>
        <v>50.51585999999984</v>
      </c>
      <c r="J5" s="18">
        <f t="shared" si="0"/>
        <v>37.55883599999995</v>
      </c>
      <c r="K5" s="18">
        <f t="shared" si="0"/>
        <v>70.343790999999811</v>
      </c>
      <c r="L5" s="18">
        <f t="shared" si="3"/>
        <v>350.9901059999986</v>
      </c>
      <c r="M5" s="19">
        <f t="shared" si="4"/>
        <v>1.0428459199929716E-2</v>
      </c>
      <c r="N5" s="19">
        <f t="shared" si="1"/>
        <v>0.53822409740518362</v>
      </c>
      <c r="O5" s="19">
        <f t="shared" si="1"/>
        <v>0.14392388599124797</v>
      </c>
      <c r="P5" s="19">
        <f t="shared" si="1"/>
        <v>0.10700824712135931</v>
      </c>
      <c r="Q5" s="19">
        <f t="shared" si="1"/>
        <v>0.20041531028227927</v>
      </c>
    </row>
    <row r="6" spans="1:17" x14ac:dyDescent="0.3">
      <c r="A6" s="16">
        <v>45017</v>
      </c>
      <c r="B6" s="17">
        <v>-6611.954000000007</v>
      </c>
      <c r="C6" s="17">
        <v>-179556.94799999989</v>
      </c>
      <c r="D6" s="17">
        <v>-61868.519999999662</v>
      </c>
      <c r="E6" s="17">
        <v>-47356.164000000143</v>
      </c>
      <c r="F6" s="17">
        <v>-46390.632999999951</v>
      </c>
      <c r="G6" s="18">
        <f t="shared" si="2"/>
        <v>6.611954000000007</v>
      </c>
      <c r="H6" s="18">
        <f t="shared" si="0"/>
        <v>179.55694799999989</v>
      </c>
      <c r="I6" s="18">
        <f t="shared" si="0"/>
        <v>61.868519999999663</v>
      </c>
      <c r="J6" s="18">
        <f t="shared" si="0"/>
        <v>47.356164000000142</v>
      </c>
      <c r="K6" s="18">
        <f t="shared" si="0"/>
        <v>46.390632999999951</v>
      </c>
      <c r="L6" s="18">
        <f t="shared" si="3"/>
        <v>341.78421899999967</v>
      </c>
      <c r="M6" s="19">
        <f t="shared" si="4"/>
        <v>1.9345404592831753E-2</v>
      </c>
      <c r="N6" s="19">
        <f t="shared" si="1"/>
        <v>0.52535178050452958</v>
      </c>
      <c r="O6" s="19">
        <f t="shared" si="1"/>
        <v>0.18101631544316482</v>
      </c>
      <c r="P6" s="19">
        <f t="shared" si="1"/>
        <v>0.138555735951051</v>
      </c>
      <c r="Q6" s="19">
        <f t="shared" si="1"/>
        <v>0.13573076350842284</v>
      </c>
    </row>
    <row r="7" spans="1:17" x14ac:dyDescent="0.3">
      <c r="A7" s="16">
        <v>45047</v>
      </c>
      <c r="B7" s="17">
        <v>-220.00000000000011</v>
      </c>
      <c r="C7" s="17">
        <v>-217792.6390000004</v>
      </c>
      <c r="D7" s="17">
        <v>-45137.409999999974</v>
      </c>
      <c r="E7" s="17">
        <v>-9934.0000000000055</v>
      </c>
      <c r="F7" s="17">
        <v>-136660.03600000133</v>
      </c>
      <c r="G7" s="20">
        <f t="shared" si="2"/>
        <v>0.22000000000000011</v>
      </c>
      <c r="H7" s="18">
        <f t="shared" si="0"/>
        <v>217.79263900000041</v>
      </c>
      <c r="I7" s="18">
        <f t="shared" si="0"/>
        <v>45.137409999999974</v>
      </c>
      <c r="J7" s="18">
        <f t="shared" si="0"/>
        <v>9.9340000000000046</v>
      </c>
      <c r="K7" s="18">
        <f t="shared" si="0"/>
        <v>136.66003600000133</v>
      </c>
      <c r="L7" s="18">
        <f t="shared" si="3"/>
        <v>409.74408500000175</v>
      </c>
      <c r="M7" s="19">
        <f t="shared" si="4"/>
        <v>5.3692050246435937E-4</v>
      </c>
      <c r="N7" s="19">
        <f t="shared" si="1"/>
        <v>0.53153333256781354</v>
      </c>
      <c r="O7" s="19">
        <f t="shared" si="1"/>
        <v>0.11016000389608988</v>
      </c>
      <c r="P7" s="19">
        <f t="shared" si="1"/>
        <v>2.4244401234004297E-2</v>
      </c>
      <c r="Q7" s="19">
        <f t="shared" si="1"/>
        <v>0.33352534179962778</v>
      </c>
    </row>
    <row r="8" spans="1:17" x14ac:dyDescent="0.3">
      <c r="A8" s="16">
        <v>45078</v>
      </c>
      <c r="B8" s="17">
        <v>0</v>
      </c>
      <c r="C8" s="17">
        <v>-184457.78400000112</v>
      </c>
      <c r="D8" s="17">
        <v>-52451.180000000029</v>
      </c>
      <c r="E8" s="17">
        <v>-240</v>
      </c>
      <c r="F8" s="17">
        <v>-151530.74600000045</v>
      </c>
      <c r="G8" s="18">
        <f t="shared" si="2"/>
        <v>0</v>
      </c>
      <c r="H8" s="18">
        <f t="shared" si="0"/>
        <v>184.45778400000111</v>
      </c>
      <c r="I8" s="18">
        <f t="shared" si="0"/>
        <v>52.451180000000029</v>
      </c>
      <c r="J8" s="18">
        <f t="shared" si="0"/>
        <v>0.24</v>
      </c>
      <c r="K8" s="18">
        <f t="shared" si="0"/>
        <v>151.53074600000045</v>
      </c>
      <c r="L8" s="18">
        <f t="shared" si="3"/>
        <v>388.67971000000159</v>
      </c>
      <c r="M8" s="19">
        <f t="shared" si="4"/>
        <v>0</v>
      </c>
      <c r="N8" s="19">
        <f t="shared" si="1"/>
        <v>0.47457528462188148</v>
      </c>
      <c r="O8" s="19">
        <f t="shared" si="1"/>
        <v>0.13494704933272647</v>
      </c>
      <c r="P8" s="19">
        <f t="shared" si="1"/>
        <v>6.1747498988305564E-4</v>
      </c>
      <c r="Q8" s="19">
        <f t="shared" si="1"/>
        <v>0.38986019105550901</v>
      </c>
    </row>
    <row r="9" spans="1:17" x14ac:dyDescent="0.3">
      <c r="A9" s="16">
        <v>45108</v>
      </c>
      <c r="B9" s="17">
        <v>0</v>
      </c>
      <c r="C9" s="17">
        <v>-190075.18000000095</v>
      </c>
      <c r="D9" s="17">
        <v>-47474.117000000238</v>
      </c>
      <c r="E9" s="17">
        <v>-27612.999999999964</v>
      </c>
      <c r="F9" s="17">
        <v>-131778.5939999996</v>
      </c>
      <c r="G9" s="18">
        <f t="shared" si="2"/>
        <v>0</v>
      </c>
      <c r="H9" s="18">
        <f t="shared" si="0"/>
        <v>190.07518000000096</v>
      </c>
      <c r="I9" s="18">
        <f t="shared" si="0"/>
        <v>47.474117000000241</v>
      </c>
      <c r="J9" s="18">
        <f t="shared" si="0"/>
        <v>27.612999999999964</v>
      </c>
      <c r="K9" s="18">
        <f t="shared" si="0"/>
        <v>131.7785939999996</v>
      </c>
      <c r="L9" s="18">
        <f t="shared" si="3"/>
        <v>396.94089100000076</v>
      </c>
      <c r="M9" s="19">
        <f t="shared" si="4"/>
        <v>0</v>
      </c>
      <c r="N9" s="19">
        <f t="shared" si="1"/>
        <v>0.47885008652333727</v>
      </c>
      <c r="O9" s="19">
        <f t="shared" si="1"/>
        <v>0.1195999658296735</v>
      </c>
      <c r="P9" s="19">
        <f t="shared" si="1"/>
        <v>6.9564513573886017E-2</v>
      </c>
      <c r="Q9" s="19">
        <f t="shared" si="1"/>
        <v>0.33198543407310321</v>
      </c>
    </row>
    <row r="10" spans="1:17" x14ac:dyDescent="0.3">
      <c r="A10" s="16">
        <v>45139</v>
      </c>
      <c r="B10" s="17">
        <v>0</v>
      </c>
      <c r="C10" s="17">
        <v>-192721.71200000105</v>
      </c>
      <c r="D10" s="17">
        <v>-44278.338999999942</v>
      </c>
      <c r="E10" s="17">
        <v>-58342.868000000461</v>
      </c>
      <c r="F10" s="17">
        <v>-114610.47600000065</v>
      </c>
      <c r="G10" s="18">
        <f t="shared" si="2"/>
        <v>0</v>
      </c>
      <c r="H10" s="18">
        <f t="shared" si="0"/>
        <v>192.72171200000105</v>
      </c>
      <c r="I10" s="18">
        <f t="shared" si="0"/>
        <v>44.278338999999939</v>
      </c>
      <c r="J10" s="18">
        <f t="shared" si="0"/>
        <v>58.342868000000458</v>
      </c>
      <c r="K10" s="18">
        <f t="shared" si="0"/>
        <v>114.61047600000065</v>
      </c>
      <c r="L10" s="18">
        <f t="shared" si="3"/>
        <v>409.95339500000205</v>
      </c>
      <c r="M10" s="19">
        <f t="shared" si="4"/>
        <v>0</v>
      </c>
      <c r="N10" s="19">
        <f t="shared" si="1"/>
        <v>0.47010639343528327</v>
      </c>
      <c r="O10" s="19">
        <f t="shared" si="1"/>
        <v>0.10800822615458451</v>
      </c>
      <c r="P10" s="19">
        <f t="shared" si="1"/>
        <v>0.1423158551961746</v>
      </c>
      <c r="Q10" s="19">
        <f t="shared" si="1"/>
        <v>0.27956952521395773</v>
      </c>
    </row>
    <row r="11" spans="1:17" x14ac:dyDescent="0.3">
      <c r="A11" s="16">
        <v>45170</v>
      </c>
      <c r="B11" s="17">
        <v>0</v>
      </c>
      <c r="C11" s="17">
        <v>-166398.20599999771</v>
      </c>
      <c r="D11" s="17">
        <v>-54985.356999999836</v>
      </c>
      <c r="E11" s="17">
        <v>-39306.626000000098</v>
      </c>
      <c r="F11" s="17">
        <v>-118232.09800000041</v>
      </c>
      <c r="G11" s="18">
        <f t="shared" si="2"/>
        <v>0</v>
      </c>
      <c r="H11" s="18">
        <f t="shared" si="0"/>
        <v>166.39820599999771</v>
      </c>
      <c r="I11" s="18">
        <f t="shared" si="0"/>
        <v>54.985356999999837</v>
      </c>
      <c r="J11" s="18">
        <f t="shared" si="0"/>
        <v>39.306626000000101</v>
      </c>
      <c r="K11" s="18">
        <f t="shared" si="0"/>
        <v>118.23209800000041</v>
      </c>
      <c r="L11" s="18">
        <f t="shared" si="3"/>
        <v>378.92228699999805</v>
      </c>
      <c r="M11" s="19">
        <f t="shared" si="4"/>
        <v>0</v>
      </c>
      <c r="N11" s="19">
        <f t="shared" si="1"/>
        <v>0.43913544203853749</v>
      </c>
      <c r="O11" s="19">
        <f t="shared" si="1"/>
        <v>0.14510985203675844</v>
      </c>
      <c r="P11" s="19">
        <f t="shared" si="1"/>
        <v>0.10373268437493703</v>
      </c>
      <c r="Q11" s="19">
        <f t="shared" si="1"/>
        <v>0.31202202154976705</v>
      </c>
    </row>
    <row r="12" spans="1:17" x14ac:dyDescent="0.3">
      <c r="A12" s="16">
        <v>45200</v>
      </c>
      <c r="B12" s="17">
        <v>0</v>
      </c>
      <c r="C12" s="17">
        <v>-191851.68299999984</v>
      </c>
      <c r="D12" s="17">
        <v>-62860.455999999736</v>
      </c>
      <c r="E12" s="17">
        <v>-31450.346999999918</v>
      </c>
      <c r="F12" s="17">
        <v>-128781.62400000068</v>
      </c>
      <c r="G12" s="18">
        <f t="shared" si="2"/>
        <v>0</v>
      </c>
      <c r="H12" s="18">
        <f t="shared" si="0"/>
        <v>191.85168299999984</v>
      </c>
      <c r="I12" s="18">
        <f t="shared" si="0"/>
        <v>62.860455999999736</v>
      </c>
      <c r="J12" s="18">
        <f t="shared" si="0"/>
        <v>31.450346999999919</v>
      </c>
      <c r="K12" s="18">
        <f t="shared" si="0"/>
        <v>128.78162400000068</v>
      </c>
      <c r="L12" s="18">
        <f t="shared" si="3"/>
        <v>414.94411000000014</v>
      </c>
      <c r="M12" s="19">
        <f t="shared" si="4"/>
        <v>0</v>
      </c>
      <c r="N12" s="19">
        <f t="shared" si="1"/>
        <v>0.4623554796331481</v>
      </c>
      <c r="O12" s="19">
        <f t="shared" si="1"/>
        <v>0.15149138036927362</v>
      </c>
      <c r="P12" s="19">
        <f t="shared" si="1"/>
        <v>7.579417623255312E-2</v>
      </c>
      <c r="Q12" s="19">
        <f t="shared" si="1"/>
        <v>0.3103589637650252</v>
      </c>
    </row>
    <row r="13" spans="1:17" x14ac:dyDescent="0.3">
      <c r="A13" s="16">
        <v>45231</v>
      </c>
      <c r="B13" s="17">
        <v>0</v>
      </c>
      <c r="C13" s="17">
        <v>-167565.11999999802</v>
      </c>
      <c r="D13" s="17">
        <v>-48619.225999999959</v>
      </c>
      <c r="E13" s="17">
        <v>-22067.212000000396</v>
      </c>
      <c r="F13" s="17">
        <v>-144823.27399999963</v>
      </c>
      <c r="G13" s="18">
        <f t="shared" si="2"/>
        <v>0</v>
      </c>
      <c r="H13" s="18">
        <f t="shared" si="0"/>
        <v>167.56511999999802</v>
      </c>
      <c r="I13" s="18">
        <f t="shared" si="0"/>
        <v>48.619225999999962</v>
      </c>
      <c r="J13" s="18">
        <f t="shared" si="0"/>
        <v>22.067212000000396</v>
      </c>
      <c r="K13" s="18">
        <f t="shared" si="0"/>
        <v>144.82327399999963</v>
      </c>
      <c r="L13" s="18">
        <f t="shared" si="3"/>
        <v>383.07483199999803</v>
      </c>
      <c r="M13" s="19">
        <f t="shared" si="4"/>
        <v>0</v>
      </c>
      <c r="N13" s="19">
        <f t="shared" si="1"/>
        <v>0.43742137567523331</v>
      </c>
      <c r="O13" s="19">
        <f t="shared" si="1"/>
        <v>0.12691835103382676</v>
      </c>
      <c r="P13" s="19">
        <f t="shared" si="1"/>
        <v>5.7605486334848827E-2</v>
      </c>
      <c r="Q13" s="19">
        <f t="shared" si="1"/>
        <v>0.37805478695609107</v>
      </c>
    </row>
    <row r="14" spans="1:17" x14ac:dyDescent="0.3">
      <c r="A14" s="16">
        <v>45261</v>
      </c>
      <c r="B14" s="17">
        <v>0</v>
      </c>
      <c r="C14" s="17">
        <v>-184972.0180000012</v>
      </c>
      <c r="D14" s="17">
        <v>-77336.728000000367</v>
      </c>
      <c r="E14" s="17">
        <v>-18114.286000000055</v>
      </c>
      <c r="F14" s="17">
        <v>-121209.33399999932</v>
      </c>
      <c r="G14" s="18">
        <f t="shared" si="2"/>
        <v>0</v>
      </c>
      <c r="H14" s="18">
        <f t="shared" si="0"/>
        <v>184.97201800000121</v>
      </c>
      <c r="I14" s="18">
        <f t="shared" si="0"/>
        <v>77.336728000000363</v>
      </c>
      <c r="J14" s="18">
        <f t="shared" si="0"/>
        <v>18.114286000000053</v>
      </c>
      <c r="K14" s="18">
        <f t="shared" si="0"/>
        <v>121.20933399999932</v>
      </c>
      <c r="L14" s="18">
        <f t="shared" si="3"/>
        <v>401.63236600000096</v>
      </c>
      <c r="M14" s="19">
        <f t="shared" si="4"/>
        <v>0</v>
      </c>
      <c r="N14" s="19">
        <f t="shared" si="1"/>
        <v>0.46055057724108017</v>
      </c>
      <c r="O14" s="19">
        <f t="shared" si="1"/>
        <v>0.19255601526894917</v>
      </c>
      <c r="P14" s="19">
        <f t="shared" si="1"/>
        <v>4.5101658963411353E-2</v>
      </c>
      <c r="Q14" s="19">
        <f t="shared" si="1"/>
        <v>0.30179174852655932</v>
      </c>
    </row>
    <row r="15" spans="1:17" x14ac:dyDescent="0.3">
      <c r="A15" s="16">
        <v>45292</v>
      </c>
      <c r="B15" s="17">
        <v>-1653.8590000000004</v>
      </c>
      <c r="C15" s="17">
        <v>-145802.92499999993</v>
      </c>
      <c r="D15" s="17">
        <v>-48926.443999999967</v>
      </c>
      <c r="E15" s="17">
        <v>-56319.9459999994</v>
      </c>
      <c r="F15" s="17">
        <v>-137133.61599999954</v>
      </c>
      <c r="G15" s="18">
        <f t="shared" si="2"/>
        <v>1.6538590000000004</v>
      </c>
      <c r="H15" s="18">
        <f t="shared" si="0"/>
        <v>145.80292499999993</v>
      </c>
      <c r="I15" s="18">
        <f t="shared" si="0"/>
        <v>48.926443999999968</v>
      </c>
      <c r="J15" s="18">
        <f t="shared" si="0"/>
        <v>56.319945999999398</v>
      </c>
      <c r="K15" s="18">
        <f t="shared" si="0"/>
        <v>137.13361599999953</v>
      </c>
      <c r="L15" s="18">
        <f t="shared" si="3"/>
        <v>389.83678999999881</v>
      </c>
      <c r="M15" s="19">
        <f t="shared" si="4"/>
        <v>4.2424395091084279E-3</v>
      </c>
      <c r="N15" s="19">
        <f t="shared" si="1"/>
        <v>0.37401017230826361</v>
      </c>
      <c r="O15" s="19">
        <f t="shared" si="1"/>
        <v>0.12550494272231238</v>
      </c>
      <c r="P15" s="19">
        <f t="shared" si="1"/>
        <v>0.14447057703301827</v>
      </c>
      <c r="Q15" s="19">
        <f t="shared" si="1"/>
        <v>0.35177186842729735</v>
      </c>
    </row>
    <row r="16" spans="1:17" x14ac:dyDescent="0.3">
      <c r="A16" s="16">
        <v>45323</v>
      </c>
      <c r="B16" s="17">
        <v>-1120.5650000000001</v>
      </c>
      <c r="C16" s="17">
        <v>-158033.36299999995</v>
      </c>
      <c r="D16" s="17">
        <v>-39350.449999999917</v>
      </c>
      <c r="E16" s="17">
        <v>-36786.284999999887</v>
      </c>
      <c r="F16" s="17">
        <v>-160462.42900000029</v>
      </c>
      <c r="G16" s="18">
        <f t="shared" si="2"/>
        <v>1.120565</v>
      </c>
      <c r="H16" s="18">
        <f t="shared" si="0"/>
        <v>158.03336299999995</v>
      </c>
      <c r="I16" s="18">
        <f t="shared" si="0"/>
        <v>39.350449999999917</v>
      </c>
      <c r="J16" s="18">
        <f t="shared" si="0"/>
        <v>36.786284999999886</v>
      </c>
      <c r="K16" s="18">
        <f t="shared" si="0"/>
        <v>160.4624290000003</v>
      </c>
      <c r="L16" s="18">
        <f t="shared" si="3"/>
        <v>395.75309200000004</v>
      </c>
      <c r="M16" s="19">
        <f t="shared" si="4"/>
        <v>2.8314750349442623E-3</v>
      </c>
      <c r="N16" s="19">
        <f t="shared" si="1"/>
        <v>0.39932312897759986</v>
      </c>
      <c r="O16" s="19">
        <f t="shared" si="1"/>
        <v>9.9431819473945929E-2</v>
      </c>
      <c r="P16" s="19">
        <f t="shared" si="1"/>
        <v>9.2952615516140757E-2</v>
      </c>
      <c r="Q16" s="19">
        <f t="shared" si="1"/>
        <v>0.40546096099736922</v>
      </c>
    </row>
    <row r="17" spans="1:17" x14ac:dyDescent="0.3">
      <c r="A17" s="16">
        <v>45352</v>
      </c>
      <c r="B17" s="17">
        <v>0</v>
      </c>
      <c r="C17" s="17">
        <v>-171372.19199999946</v>
      </c>
      <c r="D17" s="17">
        <v>-40620.020999999913</v>
      </c>
      <c r="E17" s="17">
        <v>-27688.592000000153</v>
      </c>
      <c r="F17" s="17">
        <v>-172809.37399999987</v>
      </c>
      <c r="G17" s="18">
        <f t="shared" si="2"/>
        <v>0</v>
      </c>
      <c r="H17" s="18">
        <f t="shared" si="0"/>
        <v>171.37219199999944</v>
      </c>
      <c r="I17" s="18">
        <f t="shared" si="0"/>
        <v>40.620020999999916</v>
      </c>
      <c r="J17" s="18">
        <f t="shared" si="0"/>
        <v>27.688592000000153</v>
      </c>
      <c r="K17" s="18">
        <f t="shared" si="0"/>
        <v>172.80937399999988</v>
      </c>
      <c r="L17" s="18">
        <f t="shared" si="3"/>
        <v>412.49017899999939</v>
      </c>
      <c r="M17" s="19">
        <f t="shared" si="4"/>
        <v>0</v>
      </c>
      <c r="N17" s="19">
        <f t="shared" si="1"/>
        <v>0.41545762959849691</v>
      </c>
      <c r="O17" s="19">
        <f t="shared" si="1"/>
        <v>9.8475122725285483E-2</v>
      </c>
      <c r="P17" s="19">
        <f t="shared" si="1"/>
        <v>6.7125457549378875E-2</v>
      </c>
      <c r="Q17" s="19">
        <f t="shared" si="1"/>
        <v>0.41894179012683874</v>
      </c>
    </row>
    <row r="18" spans="1:17" x14ac:dyDescent="0.3">
      <c r="A18" s="16">
        <v>45383</v>
      </c>
      <c r="B18" s="17">
        <v>0</v>
      </c>
      <c r="C18" s="17">
        <v>-170360.8900000022</v>
      </c>
      <c r="D18" s="17">
        <v>-49214.012999999955</v>
      </c>
      <c r="E18" s="17">
        <v>-9775.286999999993</v>
      </c>
      <c r="F18" s="17">
        <v>-141875.89699999953</v>
      </c>
      <c r="G18" s="18">
        <f t="shared" si="2"/>
        <v>0</v>
      </c>
      <c r="H18" s="18">
        <f t="shared" si="2"/>
        <v>170.3608900000022</v>
      </c>
      <c r="I18" s="18">
        <f t="shared" si="2"/>
        <v>49.214012999999959</v>
      </c>
      <c r="J18" s="18">
        <f t="shared" si="2"/>
        <v>9.7752869999999934</v>
      </c>
      <c r="K18" s="18">
        <f t="shared" si="2"/>
        <v>141.87589699999953</v>
      </c>
      <c r="L18" s="18">
        <f t="shared" si="3"/>
        <v>371.22608700000171</v>
      </c>
      <c r="M18" s="19">
        <f t="shared" si="4"/>
        <v>0</v>
      </c>
      <c r="N18" s="19">
        <f t="shared" si="4"/>
        <v>0.45891411181995251</v>
      </c>
      <c r="O18" s="19">
        <f t="shared" si="4"/>
        <v>0.13257153719372025</v>
      </c>
      <c r="P18" s="19">
        <f t="shared" si="4"/>
        <v>2.6332435521967908E-2</v>
      </c>
      <c r="Q18" s="19">
        <f t="shared" si="4"/>
        <v>0.38218191546435926</v>
      </c>
    </row>
    <row r="19" spans="1:17" x14ac:dyDescent="0.3">
      <c r="A19" s="16">
        <v>45413</v>
      </c>
      <c r="B19" s="17">
        <v>-1756.2189999999998</v>
      </c>
      <c r="C19" s="17">
        <v>-158751.23899999875</v>
      </c>
      <c r="D19" s="17">
        <v>-41733.683999999856</v>
      </c>
      <c r="E19" s="17">
        <v>-5884.4999999999973</v>
      </c>
      <c r="F19" s="17">
        <v>-196307.64799999859</v>
      </c>
      <c r="G19" s="18">
        <f t="shared" ref="G19:K34" si="5">B19/(-1000)</f>
        <v>1.7562189999999998</v>
      </c>
      <c r="H19" s="18">
        <f t="shared" si="5"/>
        <v>158.75123899999875</v>
      </c>
      <c r="I19" s="18">
        <f t="shared" si="5"/>
        <v>41.733683999999855</v>
      </c>
      <c r="J19" s="18">
        <f t="shared" si="5"/>
        <v>5.8844999999999974</v>
      </c>
      <c r="K19" s="18">
        <f t="shared" si="5"/>
        <v>196.30764799999858</v>
      </c>
      <c r="L19" s="18">
        <f t="shared" si="3"/>
        <v>404.43328999999721</v>
      </c>
      <c r="M19" s="19">
        <f t="shared" ref="M19:Q34" si="6">G19/$L19</f>
        <v>4.3424194877726601E-3</v>
      </c>
      <c r="N19" s="19">
        <f t="shared" si="6"/>
        <v>0.39252762550778114</v>
      </c>
      <c r="O19" s="19">
        <f t="shared" si="6"/>
        <v>0.10319052618047378</v>
      </c>
      <c r="P19" s="19">
        <f t="shared" si="6"/>
        <v>1.4549989195993332E-2</v>
      </c>
      <c r="Q19" s="19">
        <f t="shared" si="6"/>
        <v>0.48538943962797904</v>
      </c>
    </row>
    <row r="20" spans="1:17" x14ac:dyDescent="0.3">
      <c r="A20" s="16">
        <v>45444</v>
      </c>
      <c r="B20" s="17">
        <v>0</v>
      </c>
      <c r="C20" s="17">
        <v>-154492.71399999922</v>
      </c>
      <c r="D20" s="17">
        <v>-56757.487999999968</v>
      </c>
      <c r="E20" s="17">
        <v>-8461.5670000000337</v>
      </c>
      <c r="F20" s="17">
        <v>-105922.70500000025</v>
      </c>
      <c r="G20" s="18">
        <f t="shared" si="5"/>
        <v>0</v>
      </c>
      <c r="H20" s="18">
        <f t="shared" si="5"/>
        <v>154.49271399999921</v>
      </c>
      <c r="I20" s="18">
        <f t="shared" si="5"/>
        <v>56.757487999999967</v>
      </c>
      <c r="J20" s="18">
        <f t="shared" si="5"/>
        <v>8.4615670000000343</v>
      </c>
      <c r="K20" s="18">
        <f t="shared" si="5"/>
        <v>105.92270500000025</v>
      </c>
      <c r="L20" s="18">
        <f t="shared" si="3"/>
        <v>325.63447399999944</v>
      </c>
      <c r="M20" s="19">
        <f t="shared" si="6"/>
        <v>0</v>
      </c>
      <c r="N20" s="19">
        <f t="shared" si="6"/>
        <v>0.47443598984547158</v>
      </c>
      <c r="O20" s="19">
        <f t="shared" si="6"/>
        <v>0.17429815493061113</v>
      </c>
      <c r="P20" s="19">
        <f t="shared" si="6"/>
        <v>2.5984862401270355E-2</v>
      </c>
      <c r="Q20" s="19">
        <f t="shared" si="6"/>
        <v>0.325280992822647</v>
      </c>
    </row>
    <row r="21" spans="1:17" x14ac:dyDescent="0.3">
      <c r="A21" s="16">
        <v>45474</v>
      </c>
      <c r="B21" s="17">
        <v>0</v>
      </c>
      <c r="C21" s="17">
        <v>-176406.38199999824</v>
      </c>
      <c r="D21" s="17">
        <v>-47287.022999999994</v>
      </c>
      <c r="E21" s="17">
        <v>-36500.386999999988</v>
      </c>
      <c r="F21" s="17">
        <v>-117841.19900000062</v>
      </c>
      <c r="G21" s="18">
        <f t="shared" si="5"/>
        <v>0</v>
      </c>
      <c r="H21" s="18">
        <f t="shared" si="5"/>
        <v>176.40638199999825</v>
      </c>
      <c r="I21" s="18">
        <f t="shared" si="5"/>
        <v>47.287022999999991</v>
      </c>
      <c r="J21" s="18">
        <f t="shared" si="5"/>
        <v>36.500386999999989</v>
      </c>
      <c r="K21" s="18">
        <f t="shared" si="5"/>
        <v>117.84119900000061</v>
      </c>
      <c r="L21" s="18">
        <f t="shared" si="3"/>
        <v>378.03499099999885</v>
      </c>
      <c r="M21" s="19">
        <f t="shared" si="6"/>
        <v>0</v>
      </c>
      <c r="N21" s="19">
        <f t="shared" si="6"/>
        <v>0.46664035393485248</v>
      </c>
      <c r="O21" s="19">
        <f t="shared" si="6"/>
        <v>0.12508636535182568</v>
      </c>
      <c r="P21" s="19">
        <f t="shared" si="6"/>
        <v>9.6552932582899709E-2</v>
      </c>
      <c r="Q21" s="19">
        <f t="shared" si="6"/>
        <v>0.31172034813042204</v>
      </c>
    </row>
    <row r="22" spans="1:17" x14ac:dyDescent="0.3">
      <c r="A22" s="16">
        <v>45505</v>
      </c>
      <c r="B22" s="17">
        <v>0</v>
      </c>
      <c r="C22" s="17">
        <v>-192244.26100000073</v>
      </c>
      <c r="D22" s="17">
        <v>-57748.357999999709</v>
      </c>
      <c r="E22" s="17">
        <v>-24951.646000000033</v>
      </c>
      <c r="F22" s="17">
        <v>-111825.68200000028</v>
      </c>
      <c r="G22" s="18">
        <f t="shared" si="5"/>
        <v>0</v>
      </c>
      <c r="H22" s="18">
        <f t="shared" si="5"/>
        <v>192.24426100000073</v>
      </c>
      <c r="I22" s="18">
        <f>D22/(-1000)</f>
        <v>57.748357999999712</v>
      </c>
      <c r="J22" s="18">
        <f t="shared" si="5"/>
        <v>24.951646000000032</v>
      </c>
      <c r="K22" s="18">
        <f t="shared" si="5"/>
        <v>111.82568200000027</v>
      </c>
      <c r="L22" s="18">
        <f t="shared" si="3"/>
        <v>386.76994700000074</v>
      </c>
      <c r="M22" s="19">
        <f t="shared" si="6"/>
        <v>0</v>
      </c>
      <c r="N22" s="19">
        <f t="shared" si="6"/>
        <v>0.49705066924447561</v>
      </c>
      <c r="O22" s="19">
        <f t="shared" si="6"/>
        <v>0.14930932056104038</v>
      </c>
      <c r="P22" s="19">
        <f t="shared" si="6"/>
        <v>6.4512887295247845E-2</v>
      </c>
      <c r="Q22" s="19">
        <f t="shared" si="6"/>
        <v>0.28912712289923614</v>
      </c>
    </row>
    <row r="23" spans="1:17" x14ac:dyDescent="0.3">
      <c r="A23" s="16">
        <v>45536</v>
      </c>
      <c r="B23" s="17">
        <v>0</v>
      </c>
      <c r="C23" s="18">
        <v>-177974.14599999823</v>
      </c>
      <c r="D23" s="18">
        <v>-94304.70600000034</v>
      </c>
      <c r="E23" s="18">
        <v>-40179.370000000032</v>
      </c>
      <c r="F23" s="18">
        <v>-87165.945000000123</v>
      </c>
      <c r="G23" s="18">
        <f t="shared" si="5"/>
        <v>0</v>
      </c>
      <c r="H23" s="18">
        <f t="shared" si="5"/>
        <v>177.97414599999823</v>
      </c>
      <c r="I23" s="18">
        <f>D23/(-1000)</f>
        <v>94.304706000000337</v>
      </c>
      <c r="J23" s="18">
        <f t="shared" si="5"/>
        <v>40.179370000000034</v>
      </c>
      <c r="K23" s="18">
        <f t="shared" si="5"/>
        <v>87.165945000000121</v>
      </c>
      <c r="L23" s="18">
        <f t="shared" si="3"/>
        <v>399.62416699999875</v>
      </c>
      <c r="M23" s="19">
        <f t="shared" si="6"/>
        <v>0</v>
      </c>
      <c r="N23" s="19">
        <f t="shared" si="6"/>
        <v>0.44535381164772947</v>
      </c>
      <c r="O23" s="19">
        <f t="shared" si="6"/>
        <v>0.23598349095839499</v>
      </c>
      <c r="P23" s="19">
        <f t="shared" si="6"/>
        <v>0.10054289334308493</v>
      </c>
      <c r="Q23" s="19">
        <f t="shared" si="6"/>
        <v>0.21811980405079054</v>
      </c>
    </row>
    <row r="24" spans="1:17" x14ac:dyDescent="0.3">
      <c r="A24" s="16">
        <v>45566</v>
      </c>
      <c r="B24" s="17">
        <v>0</v>
      </c>
      <c r="C24" s="18">
        <v>-150160.61000000054</v>
      </c>
      <c r="D24" s="18">
        <v>-44870.962999999989</v>
      </c>
      <c r="E24" s="18">
        <v>-12803.484999999995</v>
      </c>
      <c r="F24" s="18">
        <v>-146885.11400000058</v>
      </c>
      <c r="G24" s="18">
        <f>B24/(-1000)</f>
        <v>0</v>
      </c>
      <c r="H24" s="18">
        <f t="shared" si="5"/>
        <v>150.16061000000053</v>
      </c>
      <c r="I24" s="18">
        <f t="shared" si="5"/>
        <v>44.870962999999989</v>
      </c>
      <c r="J24" s="18">
        <f t="shared" si="5"/>
        <v>12.803484999999995</v>
      </c>
      <c r="K24" s="18">
        <f t="shared" si="5"/>
        <v>146.88511400000058</v>
      </c>
      <c r="L24" s="18">
        <f t="shared" si="3"/>
        <v>354.72017200000107</v>
      </c>
      <c r="M24" s="19">
        <f t="shared" si="6"/>
        <v>0</v>
      </c>
      <c r="N24" s="19">
        <f t="shared" si="6"/>
        <v>0.42332131593576267</v>
      </c>
      <c r="O24" s="19">
        <f t="shared" si="6"/>
        <v>0.12649678970047368</v>
      </c>
      <c r="P24" s="19">
        <f t="shared" si="6"/>
        <v>3.6094606426837088E-2</v>
      </c>
      <c r="Q24" s="19">
        <f t="shared" si="6"/>
        <v>0.41408728793692662</v>
      </c>
    </row>
    <row r="25" spans="1:17" x14ac:dyDescent="0.3">
      <c r="A25" s="16">
        <v>45597</v>
      </c>
      <c r="B25" s="17">
        <v>0</v>
      </c>
      <c r="C25" s="18">
        <v>-166840.46999999977</v>
      </c>
      <c r="D25" s="18">
        <v>-9941.0389999999952</v>
      </c>
      <c r="E25" s="18">
        <v>-35410.061000000002</v>
      </c>
      <c r="F25" s="18">
        <v>-131323.83100000047</v>
      </c>
      <c r="G25" s="18">
        <f>B25/(-1000)</f>
        <v>0</v>
      </c>
      <c r="H25" s="18">
        <f t="shared" si="5"/>
        <v>166.84046999999975</v>
      </c>
      <c r="I25" s="18">
        <f t="shared" si="5"/>
        <v>9.9410389999999946</v>
      </c>
      <c r="J25" s="18">
        <f t="shared" si="5"/>
        <v>35.410060999999999</v>
      </c>
      <c r="K25" s="18">
        <f t="shared" si="5"/>
        <v>131.32383100000047</v>
      </c>
      <c r="L25" s="18">
        <f t="shared" si="3"/>
        <v>343.51540100000022</v>
      </c>
      <c r="M25" s="19">
        <f t="shared" si="6"/>
        <v>0</v>
      </c>
      <c r="N25" s="19">
        <f t="shared" si="6"/>
        <v>0.48568556028147236</v>
      </c>
      <c r="O25" s="19">
        <f t="shared" si="6"/>
        <v>2.8939136268885914E-2</v>
      </c>
      <c r="P25" s="19">
        <f t="shared" si="6"/>
        <v>0.10308143651469058</v>
      </c>
      <c r="Q25" s="19">
        <f t="shared" si="6"/>
        <v>0.38229386693495115</v>
      </c>
    </row>
    <row r="26" spans="1:17" x14ac:dyDescent="0.3">
      <c r="A26" s="16">
        <v>45627</v>
      </c>
      <c r="B26" s="17">
        <v>0</v>
      </c>
      <c r="C26" s="21">
        <v>-133029.68500000035</v>
      </c>
      <c r="D26" s="21">
        <v>-7705.6229999999923</v>
      </c>
      <c r="E26" s="21">
        <v>-53907.826000000088</v>
      </c>
      <c r="F26" s="21">
        <v>-121350.79300000031</v>
      </c>
      <c r="G26" s="18">
        <f>B26/(-1000)</f>
        <v>0</v>
      </c>
      <c r="H26" s="18">
        <f t="shared" si="5"/>
        <v>133.02968500000034</v>
      </c>
      <c r="I26" s="18">
        <f t="shared" si="5"/>
        <v>7.7056229999999921</v>
      </c>
      <c r="J26" s="18">
        <f t="shared" si="5"/>
        <v>53.907826000000085</v>
      </c>
      <c r="K26" s="18">
        <f t="shared" si="5"/>
        <v>121.35079300000031</v>
      </c>
      <c r="L26" s="18">
        <f t="shared" si="3"/>
        <v>315.99392700000072</v>
      </c>
      <c r="M26" s="19">
        <f t="shared" si="6"/>
        <v>0</v>
      </c>
      <c r="N26" s="19">
        <f t="shared" si="6"/>
        <v>0.42098810652142704</v>
      </c>
      <c r="O26" s="19">
        <f t="shared" si="6"/>
        <v>2.4385351557721469E-2</v>
      </c>
      <c r="P26" s="19">
        <f t="shared" si="6"/>
        <v>0.17059766468233412</v>
      </c>
      <c r="Q26" s="19">
        <f t="shared" si="6"/>
        <v>0.38402887723851742</v>
      </c>
    </row>
    <row r="27" spans="1:17" x14ac:dyDescent="0.3">
      <c r="A27" s="16">
        <v>45658</v>
      </c>
      <c r="B27" s="17">
        <v>0</v>
      </c>
      <c r="C27" s="21">
        <v>-119632.29100000075</v>
      </c>
      <c r="D27" s="17">
        <v>0</v>
      </c>
      <c r="E27" s="21">
        <v>-57259.992000000086</v>
      </c>
      <c r="F27" s="21">
        <v>-124892.51500000004</v>
      </c>
      <c r="G27" s="18">
        <f>B27/(-1000)</f>
        <v>0</v>
      </c>
      <c r="H27" s="18">
        <f t="shared" si="5"/>
        <v>119.63229100000075</v>
      </c>
      <c r="I27" s="18">
        <f t="shared" si="5"/>
        <v>0</v>
      </c>
      <c r="J27" s="18">
        <f t="shared" si="5"/>
        <v>57.259992000000082</v>
      </c>
      <c r="K27" s="18">
        <f t="shared" si="5"/>
        <v>124.89251500000005</v>
      </c>
      <c r="L27" s="18">
        <f t="shared" si="3"/>
        <v>301.78479800000088</v>
      </c>
      <c r="M27" s="19">
        <f t="shared" si="6"/>
        <v>0</v>
      </c>
      <c r="N27" s="19">
        <f t="shared" si="6"/>
        <v>0.39641589567411012</v>
      </c>
      <c r="O27" s="19">
        <f t="shared" si="6"/>
        <v>0</v>
      </c>
      <c r="P27" s="19">
        <f t="shared" si="6"/>
        <v>0.18973782768209524</v>
      </c>
      <c r="Q27" s="19">
        <f t="shared" si="6"/>
        <v>0.41384627664379464</v>
      </c>
    </row>
    <row r="28" spans="1:17" x14ac:dyDescent="0.3">
      <c r="A28" s="16">
        <v>45689</v>
      </c>
      <c r="B28" s="17">
        <v>0</v>
      </c>
      <c r="C28" s="21">
        <v>-117125.12899999984</v>
      </c>
      <c r="D28" s="21">
        <v>-4778.0110000000013</v>
      </c>
      <c r="E28" s="21">
        <v>-29700.97200000006</v>
      </c>
      <c r="F28" s="21">
        <v>-119415.60500000056</v>
      </c>
      <c r="G28" s="18">
        <f>B28/(-1000)</f>
        <v>0</v>
      </c>
      <c r="H28" s="18">
        <f t="shared" si="5"/>
        <v>117.12512899999984</v>
      </c>
      <c r="I28" s="18">
        <f t="shared" si="5"/>
        <v>4.7780110000000011</v>
      </c>
      <c r="J28" s="18">
        <f t="shared" si="5"/>
        <v>29.700972000000061</v>
      </c>
      <c r="K28" s="18">
        <f t="shared" si="5"/>
        <v>119.41560500000057</v>
      </c>
      <c r="L28" s="18">
        <f t="shared" si="3"/>
        <v>271.01971700000047</v>
      </c>
      <c r="M28" s="19">
        <f t="shared" si="6"/>
        <v>0</v>
      </c>
      <c r="N28" s="19">
        <f t="shared" si="6"/>
        <v>0.43216460520471889</v>
      </c>
      <c r="O28" s="19">
        <f t="shared" si="6"/>
        <v>1.7629754221904059E-2</v>
      </c>
      <c r="P28" s="19">
        <f t="shared" si="6"/>
        <v>0.10958970929779256</v>
      </c>
      <c r="Q28" s="19">
        <f t="shared" si="6"/>
        <v>0.44061593127558452</v>
      </c>
    </row>
    <row r="29" spans="1:17" x14ac:dyDescent="0.3">
      <c r="A29" s="16">
        <v>45717</v>
      </c>
      <c r="B29" s="17">
        <v>0</v>
      </c>
      <c r="C29" s="22">
        <v>-132635.26700000011</v>
      </c>
      <c r="D29" s="22"/>
      <c r="E29" s="22">
        <v>-19637.596999999987</v>
      </c>
      <c r="F29" s="22">
        <v>-139608.06700000094</v>
      </c>
      <c r="G29" s="18">
        <f t="shared" ref="G29:K35" si="7">B29/(-1000)</f>
        <v>0</v>
      </c>
      <c r="H29" s="18">
        <f t="shared" si="5"/>
        <v>132.63526700000011</v>
      </c>
      <c r="I29" s="18">
        <f t="shared" si="5"/>
        <v>0</v>
      </c>
      <c r="J29" s="18">
        <f>E29/(-1000)</f>
        <v>19.637596999999985</v>
      </c>
      <c r="K29" s="18">
        <f t="shared" si="5"/>
        <v>139.60806700000094</v>
      </c>
      <c r="L29" s="18">
        <f t="shared" si="3"/>
        <v>291.88093100000106</v>
      </c>
      <c r="M29" s="19">
        <f t="shared" si="6"/>
        <v>0</v>
      </c>
      <c r="N29" s="19">
        <f t="shared" si="6"/>
        <v>0.45441566376256226</v>
      </c>
      <c r="O29" s="19">
        <f t="shared" si="6"/>
        <v>0</v>
      </c>
      <c r="P29" s="19">
        <f t="shared" si="6"/>
        <v>6.7279479110610052E-2</v>
      </c>
      <c r="Q29" s="19">
        <f t="shared" si="6"/>
        <v>0.47830485712682763</v>
      </c>
    </row>
    <row r="30" spans="1:17" x14ac:dyDescent="0.3">
      <c r="A30" s="16">
        <v>45748</v>
      </c>
      <c r="B30" s="17">
        <v>0</v>
      </c>
      <c r="C30" s="21">
        <v>-117125.12899999984</v>
      </c>
      <c r="D30" s="21">
        <v>-4778.0110000000013</v>
      </c>
      <c r="E30" s="21">
        <v>-29700.97200000006</v>
      </c>
      <c r="F30" s="21">
        <v>-119415.60500000056</v>
      </c>
      <c r="G30" s="18">
        <f t="shared" si="7"/>
        <v>0</v>
      </c>
      <c r="H30" s="18">
        <f t="shared" si="5"/>
        <v>117.12512899999984</v>
      </c>
      <c r="I30" s="18">
        <f t="shared" si="5"/>
        <v>4.7780110000000011</v>
      </c>
      <c r="J30" s="18">
        <f t="shared" si="5"/>
        <v>29.700972000000061</v>
      </c>
      <c r="K30" s="18">
        <f t="shared" si="5"/>
        <v>119.41560500000057</v>
      </c>
      <c r="L30" s="18">
        <f t="shared" si="3"/>
        <v>271.01971700000047</v>
      </c>
      <c r="M30" s="19">
        <f t="shared" si="6"/>
        <v>0</v>
      </c>
      <c r="N30" s="19">
        <f t="shared" si="6"/>
        <v>0.43216460520471889</v>
      </c>
      <c r="O30" s="19">
        <f t="shared" si="6"/>
        <v>1.7629754221904059E-2</v>
      </c>
      <c r="P30" s="19">
        <f t="shared" si="6"/>
        <v>0.10958970929779256</v>
      </c>
      <c r="Q30" s="19">
        <f t="shared" si="6"/>
        <v>0.44061593127558452</v>
      </c>
    </row>
    <row r="31" spans="1:17" x14ac:dyDescent="0.3">
      <c r="A31" s="16">
        <v>45778</v>
      </c>
      <c r="B31" s="17">
        <v>0</v>
      </c>
      <c r="C31" s="21">
        <v>-108413.31100000055</v>
      </c>
      <c r="D31" s="21">
        <v>-15070.072999999909</v>
      </c>
      <c r="E31" s="21">
        <v>-19639.984999999971</v>
      </c>
      <c r="F31" s="21">
        <v>-179419.5830000006</v>
      </c>
      <c r="G31" s="18">
        <f t="shared" si="7"/>
        <v>0</v>
      </c>
      <c r="H31" s="18">
        <f t="shared" si="5"/>
        <v>108.41331100000056</v>
      </c>
      <c r="I31" s="18">
        <f t="shared" si="5"/>
        <v>15.07007299999991</v>
      </c>
      <c r="J31" s="18">
        <f t="shared" si="5"/>
        <v>19.639984999999971</v>
      </c>
      <c r="K31" s="18">
        <f t="shared" si="5"/>
        <v>179.41958300000059</v>
      </c>
      <c r="L31" s="18">
        <f t="shared" si="3"/>
        <v>322.54295200000104</v>
      </c>
      <c r="M31" s="19">
        <f t="shared" si="6"/>
        <v>0</v>
      </c>
      <c r="N31" s="19">
        <f t="shared" si="6"/>
        <v>0.33612053938168274</v>
      </c>
      <c r="O31" s="19">
        <f t="shared" si="6"/>
        <v>4.6722685789766884E-2</v>
      </c>
      <c r="P31" s="19">
        <f t="shared" si="6"/>
        <v>6.0891068548290302E-2</v>
      </c>
      <c r="Q31" s="19">
        <f t="shared" si="6"/>
        <v>0.55626570628026006</v>
      </c>
    </row>
    <row r="32" spans="1:17" x14ac:dyDescent="0.3">
      <c r="A32" s="16">
        <v>45809</v>
      </c>
      <c r="B32" s="17">
        <v>0</v>
      </c>
      <c r="C32" s="21">
        <v>-118356.50900000065</v>
      </c>
      <c r="D32" s="21">
        <v>-37199.808999999979</v>
      </c>
      <c r="E32" s="21">
        <v>0</v>
      </c>
      <c r="F32" s="21">
        <v>-78203.292999999743</v>
      </c>
      <c r="G32" s="18">
        <f t="shared" si="7"/>
        <v>0</v>
      </c>
      <c r="H32" s="18">
        <f t="shared" si="5"/>
        <v>118.35650900000064</v>
      </c>
      <c r="I32" s="18">
        <f t="shared" si="5"/>
        <v>37.199808999999981</v>
      </c>
      <c r="J32" s="18">
        <f t="shared" si="5"/>
        <v>0</v>
      </c>
      <c r="K32" s="18">
        <f t="shared" si="5"/>
        <v>78.203292999999746</v>
      </c>
      <c r="L32" s="18">
        <f t="shared" si="3"/>
        <v>233.75961100000038</v>
      </c>
      <c r="M32" s="19">
        <f t="shared" si="6"/>
        <v>0</v>
      </c>
      <c r="N32" s="19">
        <f t="shared" si="6"/>
        <v>0.50631718838717799</v>
      </c>
      <c r="O32" s="19">
        <f t="shared" si="6"/>
        <v>0.15913702474462074</v>
      </c>
      <c r="P32" s="19">
        <f t="shared" si="6"/>
        <v>0</v>
      </c>
      <c r="Q32" s="19">
        <f t="shared" si="6"/>
        <v>0.33454578686820119</v>
      </c>
    </row>
    <row r="33" spans="1:17" x14ac:dyDescent="0.3">
      <c r="A33" s="16">
        <v>45839</v>
      </c>
      <c r="B33" s="17">
        <v>0</v>
      </c>
      <c r="C33" s="21">
        <v>-62543.813000000286</v>
      </c>
      <c r="D33" s="21">
        <v>-13083.762000000008</v>
      </c>
      <c r="E33" s="21">
        <v>0</v>
      </c>
      <c r="F33" s="21">
        <v>-189332.2780000006</v>
      </c>
      <c r="G33" s="18">
        <f t="shared" si="7"/>
        <v>0</v>
      </c>
      <c r="H33" s="18">
        <f t="shared" si="5"/>
        <v>62.543813000000284</v>
      </c>
      <c r="I33" s="18">
        <f t="shared" si="5"/>
        <v>13.083762000000007</v>
      </c>
      <c r="J33" s="18">
        <f t="shared" si="5"/>
        <v>0</v>
      </c>
      <c r="K33" s="18">
        <f t="shared" si="5"/>
        <v>189.3322780000006</v>
      </c>
      <c r="L33" s="18">
        <f t="shared" si="3"/>
        <v>264.95985300000086</v>
      </c>
      <c r="M33" s="19">
        <f t="shared" si="6"/>
        <v>0</v>
      </c>
      <c r="N33" s="19">
        <f t="shared" si="6"/>
        <v>0.23605014983156744</v>
      </c>
      <c r="O33" s="19">
        <f t="shared" si="6"/>
        <v>4.9380167794703465E-2</v>
      </c>
      <c r="P33" s="19">
        <f t="shared" si="6"/>
        <v>0</v>
      </c>
      <c r="Q33" s="19">
        <f t="shared" si="6"/>
        <v>0.7145696823737292</v>
      </c>
    </row>
    <row r="34" spans="1:17" x14ac:dyDescent="0.3">
      <c r="A34" s="16">
        <v>45870</v>
      </c>
      <c r="B34" s="17">
        <v>0</v>
      </c>
      <c r="C34" s="21">
        <v>-153544.11700000116</v>
      </c>
      <c r="D34" s="21">
        <v>-33999.098999999958</v>
      </c>
      <c r="E34" s="21">
        <v>0</v>
      </c>
      <c r="F34" s="21">
        <v>-46775.720000000059</v>
      </c>
      <c r="G34" s="18">
        <f t="shared" si="7"/>
        <v>0</v>
      </c>
      <c r="H34" s="18">
        <f t="shared" si="5"/>
        <v>153.54411700000117</v>
      </c>
      <c r="I34" s="18">
        <f t="shared" si="5"/>
        <v>33.999098999999958</v>
      </c>
      <c r="J34" s="18">
        <f t="shared" si="5"/>
        <v>0</v>
      </c>
      <c r="K34" s="18">
        <f t="shared" si="5"/>
        <v>46.775720000000057</v>
      </c>
      <c r="L34" s="18">
        <f t="shared" si="3"/>
        <v>234.31893600000117</v>
      </c>
      <c r="M34" s="19">
        <f t="shared" si="6"/>
        <v>0</v>
      </c>
      <c r="N34" s="19">
        <f t="shared" si="6"/>
        <v>0.65527831263283132</v>
      </c>
      <c r="O34" s="19">
        <f t="shared" si="6"/>
        <v>0.14509753065795666</v>
      </c>
      <c r="P34" s="19">
        <f t="shared" si="6"/>
        <v>0</v>
      </c>
      <c r="Q34" s="19">
        <f t="shared" si="6"/>
        <v>0.19962415670921202</v>
      </c>
    </row>
    <row r="35" spans="1:17" x14ac:dyDescent="0.3">
      <c r="A35" s="16">
        <v>45901</v>
      </c>
      <c r="B35" s="17">
        <v>0</v>
      </c>
      <c r="C35" s="21">
        <v>-165088.72099999862</v>
      </c>
      <c r="D35" s="21">
        <v>-32376.65299999998</v>
      </c>
      <c r="E35" s="21">
        <v>0</v>
      </c>
      <c r="F35" s="21">
        <v>-59891.339999999989</v>
      </c>
      <c r="G35" s="18">
        <f t="shared" si="7"/>
        <v>0</v>
      </c>
      <c r="H35" s="18">
        <f t="shared" si="7"/>
        <v>165.08872099999863</v>
      </c>
      <c r="I35" s="18">
        <f t="shared" si="7"/>
        <v>32.376652999999983</v>
      </c>
      <c r="J35" s="18">
        <f t="shared" si="7"/>
        <v>0</v>
      </c>
      <c r="K35" s="18">
        <f t="shared" si="7"/>
        <v>59.891339999999992</v>
      </c>
      <c r="L35" s="18">
        <f t="shared" si="3"/>
        <v>257.35671399999859</v>
      </c>
      <c r="M35" s="19">
        <f t="shared" ref="M35:Q35" si="8">G35/$L35</f>
        <v>0</v>
      </c>
      <c r="N35" s="19">
        <f t="shared" si="8"/>
        <v>0.64147819745631163</v>
      </c>
      <c r="O35" s="19">
        <f t="shared" si="8"/>
        <v>0.12580457877621237</v>
      </c>
      <c r="P35" s="19">
        <f t="shared" si="8"/>
        <v>0</v>
      </c>
      <c r="Q35" s="19">
        <f t="shared" si="8"/>
        <v>0.232717223767476</v>
      </c>
    </row>
    <row r="36" spans="1:17" x14ac:dyDescent="0.3">
      <c r="A36" s="16">
        <v>45931</v>
      </c>
      <c r="B36" s="17">
        <v>0</v>
      </c>
      <c r="C36" s="21">
        <v>-176957.10399999996</v>
      </c>
      <c r="D36" s="21">
        <v>-22381.274999999943</v>
      </c>
      <c r="E36" s="21">
        <v>0</v>
      </c>
      <c r="F36" s="21">
        <v>-71598.946999999825</v>
      </c>
      <c r="G36" s="18">
        <f t="shared" ref="G36" si="9">B36/(-1000)</f>
        <v>0</v>
      </c>
      <c r="H36" s="18">
        <f t="shared" ref="H36" si="10">C36/(-1000)</f>
        <v>176.95710399999996</v>
      </c>
      <c r="I36" s="18">
        <f t="shared" ref="I36" si="11">D36/(-1000)</f>
        <v>22.381274999999942</v>
      </c>
      <c r="J36" s="18">
        <f t="shared" ref="J36" si="12">E36/(-1000)</f>
        <v>0</v>
      </c>
      <c r="K36" s="18">
        <f t="shared" ref="K36" si="13">F36/(-1000)</f>
        <v>71.598946999999825</v>
      </c>
      <c r="L36" s="18">
        <f t="shared" ref="L36" si="14">SUM(G36:K36)</f>
        <v>270.9373259999997</v>
      </c>
      <c r="M36" s="19">
        <f t="shared" ref="M36" si="15">G36/$L36</f>
        <v>0</v>
      </c>
      <c r="N36" s="19">
        <f t="shared" ref="N36" si="16">H36/$L36</f>
        <v>0.65312929234416428</v>
      </c>
      <c r="O36" s="19">
        <f t="shared" ref="O36" si="17">I36/$L36</f>
        <v>8.2606835058230285E-2</v>
      </c>
      <c r="P36" s="19">
        <f t="shared" ref="P36" si="18">J36/$L36</f>
        <v>0</v>
      </c>
      <c r="Q36" s="19">
        <f t="shared" ref="Q36" si="19">K36/$L36</f>
        <v>0.26426387259760548</v>
      </c>
    </row>
    <row r="38" spans="1:17" x14ac:dyDescent="0.3">
      <c r="C38" s="24">
        <f>SUM(C36:F36)</f>
        <v>-270937.32599999971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F301-2A52-4104-8901-33343148C4D6}">
  <dimension ref="A1:Q18"/>
  <sheetViews>
    <sheetView tabSelected="1" zoomScale="85" zoomScaleNormal="85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8.88671875" style="7"/>
    <col min="2" max="2" width="9.109375" style="10" bestFit="1" customWidth="1"/>
    <col min="3" max="3" width="12.6640625" style="10" bestFit="1" customWidth="1"/>
    <col min="4" max="6" width="10.21875" style="10" bestFit="1" customWidth="1"/>
    <col min="7" max="7" width="8.88671875" style="7"/>
    <col min="8" max="17" width="10.21875" style="7" bestFit="1" customWidth="1"/>
    <col min="18" max="16384" width="8.88671875" style="7"/>
  </cols>
  <sheetData>
    <row r="1" spans="1:17" x14ac:dyDescent="0.3">
      <c r="A1" s="1" t="s">
        <v>4</v>
      </c>
      <c r="B1" s="6" t="s">
        <v>5</v>
      </c>
      <c r="C1" s="6" t="s">
        <v>0</v>
      </c>
      <c r="D1" s="6" t="s">
        <v>3</v>
      </c>
      <c r="E1" s="6" t="s">
        <v>2</v>
      </c>
      <c r="F1" s="6" t="s">
        <v>1</v>
      </c>
      <c r="G1" s="2" t="s">
        <v>5</v>
      </c>
      <c r="H1" s="2" t="s">
        <v>0</v>
      </c>
      <c r="I1" s="2" t="s">
        <v>3</v>
      </c>
      <c r="J1" s="2" t="s">
        <v>2</v>
      </c>
      <c r="K1" s="2" t="s">
        <v>1</v>
      </c>
      <c r="L1" s="1" t="s">
        <v>6</v>
      </c>
      <c r="M1" s="3" t="s">
        <v>5</v>
      </c>
      <c r="N1" s="3" t="s">
        <v>0</v>
      </c>
      <c r="O1" s="3" t="s">
        <v>3</v>
      </c>
      <c r="P1" s="3" t="s">
        <v>2</v>
      </c>
      <c r="Q1" s="3" t="s">
        <v>1</v>
      </c>
    </row>
    <row r="2" spans="1:17" x14ac:dyDescent="0.3">
      <c r="A2" s="4">
        <v>45505</v>
      </c>
      <c r="B2" s="8">
        <v>0</v>
      </c>
      <c r="C2" s="8">
        <v>-74734.08500000053</v>
      </c>
      <c r="D2" s="8">
        <v>0</v>
      </c>
      <c r="E2" s="8">
        <v>-233321.74700000091</v>
      </c>
      <c r="F2" s="8">
        <v>-57774.480999999978</v>
      </c>
      <c r="G2" s="5">
        <f t="shared" ref="G2:G14" si="0">B2/(-1000)</f>
        <v>0</v>
      </c>
      <c r="H2" s="5">
        <f t="shared" ref="H2:H14" si="1">C2/(-1000)</f>
        <v>74.734085000000533</v>
      </c>
      <c r="I2" s="5">
        <f t="shared" ref="I2:I14" si="2">D2/(-1000)</f>
        <v>0</v>
      </c>
      <c r="J2" s="5">
        <f t="shared" ref="J2:J14" si="3">E2/(-1000)</f>
        <v>233.3217470000009</v>
      </c>
      <c r="K2" s="5">
        <f t="shared" ref="K2:K14" si="4">F2/(-1000)</f>
        <v>57.77448099999998</v>
      </c>
      <c r="L2" s="5">
        <f t="shared" ref="L2:L14" si="5">SUM(G2:K2)</f>
        <v>365.83031300000141</v>
      </c>
      <c r="M2" s="9">
        <f t="shared" ref="M2:M14" si="6">G2/$L2</f>
        <v>0</v>
      </c>
      <c r="N2" s="9">
        <f t="shared" ref="N2:N14" si="7">H2/$L2</f>
        <v>0.20428620140070308</v>
      </c>
      <c r="O2" s="9">
        <f t="shared" ref="O2:O14" si="8">I2/$L2</f>
        <v>0</v>
      </c>
      <c r="P2" s="9">
        <f t="shared" ref="P2:P14" si="9">J2/$L2</f>
        <v>0.63778680636560592</v>
      </c>
      <c r="Q2" s="9">
        <f t="shared" ref="Q2:Q14" si="10">K2/$L2</f>
        <v>0.15792699223369103</v>
      </c>
    </row>
    <row r="3" spans="1:17" x14ac:dyDescent="0.3">
      <c r="A3" s="4">
        <v>45536</v>
      </c>
      <c r="B3" s="8">
        <v>0</v>
      </c>
      <c r="C3" s="8">
        <v>-68580.504000000132</v>
      </c>
      <c r="D3" s="8">
        <v>0</v>
      </c>
      <c r="E3" s="8">
        <v>-182265.01000000036</v>
      </c>
      <c r="F3" s="8">
        <v>-88230.410000001211</v>
      </c>
      <c r="G3" s="5">
        <f t="shared" si="0"/>
        <v>0</v>
      </c>
      <c r="H3" s="5">
        <f t="shared" si="1"/>
        <v>68.580504000000133</v>
      </c>
      <c r="I3" s="5">
        <f t="shared" si="2"/>
        <v>0</v>
      </c>
      <c r="J3" s="5">
        <f t="shared" si="3"/>
        <v>182.26501000000036</v>
      </c>
      <c r="K3" s="5">
        <f t="shared" si="4"/>
        <v>88.230410000001214</v>
      </c>
      <c r="L3" s="5">
        <f t="shared" si="5"/>
        <v>339.07592400000169</v>
      </c>
      <c r="M3" s="9">
        <f t="shared" si="6"/>
        <v>0</v>
      </c>
      <c r="N3" s="9">
        <f t="shared" si="7"/>
        <v>0.20225707325654826</v>
      </c>
      <c r="O3" s="9">
        <f t="shared" si="8"/>
        <v>0</v>
      </c>
      <c r="P3" s="9">
        <f t="shared" si="9"/>
        <v>0.53753450805312697</v>
      </c>
      <c r="Q3" s="9">
        <f t="shared" si="10"/>
        <v>0.26020841869032485</v>
      </c>
    </row>
    <row r="4" spans="1:17" x14ac:dyDescent="0.3">
      <c r="A4" s="4">
        <v>45566</v>
      </c>
      <c r="B4" s="8">
        <v>0</v>
      </c>
      <c r="C4" s="8">
        <v>-71136.832000000257</v>
      </c>
      <c r="D4" s="8">
        <v>0</v>
      </c>
      <c r="E4" s="8">
        <v>-101315.81399999972</v>
      </c>
      <c r="F4" s="8">
        <v>-84896.477999999595</v>
      </c>
      <c r="G4" s="5">
        <f t="shared" si="0"/>
        <v>0</v>
      </c>
      <c r="H4" s="5">
        <f t="shared" si="1"/>
        <v>71.136832000000254</v>
      </c>
      <c r="I4" s="5">
        <f t="shared" si="2"/>
        <v>0</v>
      </c>
      <c r="J4" s="5">
        <f t="shared" si="3"/>
        <v>101.31581399999972</v>
      </c>
      <c r="K4" s="5">
        <f t="shared" si="4"/>
        <v>84.89647799999959</v>
      </c>
      <c r="L4" s="5">
        <f t="shared" si="5"/>
        <v>257.34912399999956</v>
      </c>
      <c r="M4" s="9">
        <f t="shared" si="6"/>
        <v>0</v>
      </c>
      <c r="N4" s="9">
        <f t="shared" si="7"/>
        <v>0.2764215043529753</v>
      </c>
      <c r="O4" s="9">
        <f t="shared" si="8"/>
        <v>0</v>
      </c>
      <c r="P4" s="9">
        <f t="shared" si="9"/>
        <v>0.39369014522077755</v>
      </c>
      <c r="Q4" s="9">
        <f t="shared" si="10"/>
        <v>0.32988835042624715</v>
      </c>
    </row>
    <row r="5" spans="1:17" x14ac:dyDescent="0.3">
      <c r="A5" s="4">
        <v>45597</v>
      </c>
      <c r="B5" s="8">
        <v>0</v>
      </c>
      <c r="C5" s="8">
        <v>-66701.44900000027</v>
      </c>
      <c r="D5" s="8">
        <v>0</v>
      </c>
      <c r="E5" s="8">
        <v>-36246.301999999974</v>
      </c>
      <c r="F5" s="8">
        <v>-79646.093000000314</v>
      </c>
      <c r="G5" s="5">
        <f t="shared" si="0"/>
        <v>0</v>
      </c>
      <c r="H5" s="5">
        <f t="shared" si="1"/>
        <v>66.701449000000267</v>
      </c>
      <c r="I5" s="5">
        <f t="shared" si="2"/>
        <v>0</v>
      </c>
      <c r="J5" s="5">
        <f t="shared" si="3"/>
        <v>36.246301999999972</v>
      </c>
      <c r="K5" s="5">
        <f t="shared" si="4"/>
        <v>79.64609300000032</v>
      </c>
      <c r="L5" s="5">
        <f t="shared" si="5"/>
        <v>182.59384400000056</v>
      </c>
      <c r="M5" s="9">
        <f t="shared" si="6"/>
        <v>0</v>
      </c>
      <c r="N5" s="9">
        <f t="shared" si="7"/>
        <v>0.36529954974823831</v>
      </c>
      <c r="O5" s="9">
        <f t="shared" si="8"/>
        <v>0</v>
      </c>
      <c r="P5" s="9">
        <f t="shared" si="9"/>
        <v>0.19850779854330611</v>
      </c>
      <c r="Q5" s="9">
        <f t="shared" si="10"/>
        <v>0.43619265170845561</v>
      </c>
    </row>
    <row r="6" spans="1:17" x14ac:dyDescent="0.3">
      <c r="A6" s="4">
        <v>45627</v>
      </c>
      <c r="B6" s="8">
        <v>0</v>
      </c>
      <c r="C6" s="8">
        <v>-62542.469000000034</v>
      </c>
      <c r="D6" s="8">
        <v>0</v>
      </c>
      <c r="E6" s="8">
        <v>-50258.360999999873</v>
      </c>
      <c r="F6" s="8">
        <v>-79924.179000000004</v>
      </c>
      <c r="G6" s="5">
        <f t="shared" si="0"/>
        <v>0</v>
      </c>
      <c r="H6" s="5">
        <f t="shared" si="1"/>
        <v>62.542469000000033</v>
      </c>
      <c r="I6" s="5">
        <f t="shared" si="2"/>
        <v>0</v>
      </c>
      <c r="J6" s="5">
        <f t="shared" si="3"/>
        <v>50.258360999999873</v>
      </c>
      <c r="K6" s="5">
        <f t="shared" si="4"/>
        <v>79.924179000000009</v>
      </c>
      <c r="L6" s="5">
        <f t="shared" si="5"/>
        <v>192.72500899999991</v>
      </c>
      <c r="M6" s="9">
        <f t="shared" si="6"/>
        <v>0</v>
      </c>
      <c r="N6" s="9">
        <f t="shared" si="7"/>
        <v>0.32451662254170688</v>
      </c>
      <c r="O6" s="9">
        <f t="shared" si="8"/>
        <v>0</v>
      </c>
      <c r="P6" s="9">
        <f t="shared" si="9"/>
        <v>0.26077757765210374</v>
      </c>
      <c r="Q6" s="9">
        <f t="shared" si="10"/>
        <v>0.41470579980618938</v>
      </c>
    </row>
    <row r="7" spans="1:17" x14ac:dyDescent="0.3">
      <c r="A7" s="4">
        <v>45658</v>
      </c>
      <c r="B7" s="8">
        <v>0</v>
      </c>
      <c r="C7" s="8">
        <v>-54130.270999999862</v>
      </c>
      <c r="D7" s="8">
        <v>-775.5</v>
      </c>
      <c r="E7" s="8">
        <v>-50740.252999999895</v>
      </c>
      <c r="F7" s="8">
        <v>-71401.584999999948</v>
      </c>
      <c r="G7" s="5">
        <f t="shared" si="0"/>
        <v>0</v>
      </c>
      <c r="H7" s="5">
        <f t="shared" si="1"/>
        <v>54.130270999999865</v>
      </c>
      <c r="I7" s="5">
        <f t="shared" si="2"/>
        <v>0.77549999999999997</v>
      </c>
      <c r="J7" s="5">
        <f t="shared" si="3"/>
        <v>50.740252999999896</v>
      </c>
      <c r="K7" s="5">
        <f t="shared" si="4"/>
        <v>71.401584999999955</v>
      </c>
      <c r="L7" s="5">
        <f t="shared" si="5"/>
        <v>177.04760899999971</v>
      </c>
      <c r="M7" s="9">
        <f t="shared" si="6"/>
        <v>0</v>
      </c>
      <c r="N7" s="9">
        <f t="shared" si="7"/>
        <v>0.30573850336493363</v>
      </c>
      <c r="O7" s="9">
        <f t="shared" si="8"/>
        <v>4.380177763372118E-3</v>
      </c>
      <c r="P7" s="9">
        <f t="shared" si="9"/>
        <v>0.28659100954026429</v>
      </c>
      <c r="Q7" s="9">
        <f t="shared" si="10"/>
        <v>0.40329030933143001</v>
      </c>
    </row>
    <row r="8" spans="1:17" x14ac:dyDescent="0.3">
      <c r="A8" s="4">
        <v>45689</v>
      </c>
      <c r="B8" s="8">
        <v>0</v>
      </c>
      <c r="C8" s="8">
        <v>-58796.240999999674</v>
      </c>
      <c r="D8" s="8">
        <v>-10.19</v>
      </c>
      <c r="E8" s="8">
        <v>-60673.060999999907</v>
      </c>
      <c r="F8" s="8">
        <v>-48726.744000000093</v>
      </c>
      <c r="G8" s="5">
        <f t="shared" si="0"/>
        <v>0</v>
      </c>
      <c r="H8" s="5">
        <f t="shared" si="1"/>
        <v>58.796240999999675</v>
      </c>
      <c r="I8" s="5">
        <f t="shared" si="2"/>
        <v>1.0189999999999999E-2</v>
      </c>
      <c r="J8" s="5">
        <f t="shared" si="3"/>
        <v>60.673060999999905</v>
      </c>
      <c r="K8" s="5">
        <f t="shared" si="4"/>
        <v>48.726744000000096</v>
      </c>
      <c r="L8" s="5">
        <f t="shared" si="5"/>
        <v>168.20623599999968</v>
      </c>
      <c r="M8" s="9">
        <f t="shared" si="6"/>
        <v>0</v>
      </c>
      <c r="N8" s="9">
        <f t="shared" si="7"/>
        <v>0.34954852090025834</v>
      </c>
      <c r="O8" s="9">
        <f t="shared" si="8"/>
        <v>6.058039370193159E-5</v>
      </c>
      <c r="P8" s="9">
        <f t="shared" si="9"/>
        <v>0.36070637119541765</v>
      </c>
      <c r="Q8" s="9">
        <f t="shared" si="10"/>
        <v>0.28968452751062207</v>
      </c>
    </row>
    <row r="9" spans="1:17" x14ac:dyDescent="0.3">
      <c r="A9" s="4">
        <v>45717</v>
      </c>
      <c r="B9" s="8">
        <v>0</v>
      </c>
      <c r="C9" s="8">
        <v>-56020.413999999742</v>
      </c>
      <c r="D9" s="8">
        <v>0</v>
      </c>
      <c r="E9" s="8">
        <v>-55749.349999999926</v>
      </c>
      <c r="F9" s="8">
        <v>-55119.132999999892</v>
      </c>
      <c r="G9" s="5">
        <f t="shared" si="0"/>
        <v>0</v>
      </c>
      <c r="H9" s="5">
        <f t="shared" si="1"/>
        <v>56.020413999999739</v>
      </c>
      <c r="I9" s="5">
        <f t="shared" si="2"/>
        <v>0</v>
      </c>
      <c r="J9" s="5">
        <f t="shared" si="3"/>
        <v>55.749349999999929</v>
      </c>
      <c r="K9" s="5">
        <f t="shared" si="4"/>
        <v>55.119132999999891</v>
      </c>
      <c r="L9" s="5">
        <f t="shared" si="5"/>
        <v>166.88889699999956</v>
      </c>
      <c r="M9" s="9">
        <f t="shared" si="6"/>
        <v>0</v>
      </c>
      <c r="N9" s="9">
        <f t="shared" si="7"/>
        <v>0.33567490112898218</v>
      </c>
      <c r="O9" s="9">
        <f t="shared" si="8"/>
        <v>0</v>
      </c>
      <c r="P9" s="9">
        <f t="shared" si="9"/>
        <v>0.33405068283242401</v>
      </c>
      <c r="Q9" s="9">
        <f t="shared" si="10"/>
        <v>0.33027441603859387</v>
      </c>
    </row>
    <row r="10" spans="1:17" x14ac:dyDescent="0.3">
      <c r="A10" s="4">
        <v>45748</v>
      </c>
      <c r="B10" s="8">
        <v>0</v>
      </c>
      <c r="C10" s="8">
        <v>-55568.250000000357</v>
      </c>
      <c r="D10" s="8">
        <v>0</v>
      </c>
      <c r="E10" s="8">
        <v>-58293.080000000235</v>
      </c>
      <c r="F10" s="8">
        <v>-66699.850000000224</v>
      </c>
      <c r="G10" s="5">
        <f t="shared" si="0"/>
        <v>0</v>
      </c>
      <c r="H10" s="5">
        <f t="shared" si="1"/>
        <v>55.568250000000354</v>
      </c>
      <c r="I10" s="5">
        <f t="shared" si="2"/>
        <v>0</v>
      </c>
      <c r="J10" s="5">
        <f t="shared" si="3"/>
        <v>58.293080000000238</v>
      </c>
      <c r="K10" s="5">
        <f t="shared" si="4"/>
        <v>66.699850000000225</v>
      </c>
      <c r="L10" s="5">
        <f t="shared" si="5"/>
        <v>180.56118000000083</v>
      </c>
      <c r="M10" s="9">
        <f t="shared" si="6"/>
        <v>0</v>
      </c>
      <c r="N10" s="9">
        <f t="shared" si="7"/>
        <v>0.30775302864104065</v>
      </c>
      <c r="O10" s="9">
        <f t="shared" si="8"/>
        <v>0</v>
      </c>
      <c r="P10" s="9">
        <f t="shared" si="9"/>
        <v>0.3228439247018654</v>
      </c>
      <c r="Q10" s="9">
        <f t="shared" si="10"/>
        <v>0.36940304665709384</v>
      </c>
    </row>
    <row r="11" spans="1:17" x14ac:dyDescent="0.3">
      <c r="A11" s="4">
        <v>45778</v>
      </c>
      <c r="B11" s="8">
        <v>0</v>
      </c>
      <c r="C11" s="8">
        <v>-57420.701000000401</v>
      </c>
      <c r="D11" s="8">
        <v>0</v>
      </c>
      <c r="E11" s="8">
        <v>-63813.143999999978</v>
      </c>
      <c r="F11" s="8">
        <v>-64040.312000000129</v>
      </c>
      <c r="G11" s="5">
        <f t="shared" si="0"/>
        <v>0</v>
      </c>
      <c r="H11" s="5">
        <f t="shared" si="1"/>
        <v>57.420701000000399</v>
      </c>
      <c r="I11" s="5">
        <f t="shared" si="2"/>
        <v>0</v>
      </c>
      <c r="J11" s="5">
        <f t="shared" si="3"/>
        <v>63.81314399999998</v>
      </c>
      <c r="K11" s="5">
        <f t="shared" si="4"/>
        <v>64.040312000000128</v>
      </c>
      <c r="L11" s="5">
        <f t="shared" si="5"/>
        <v>185.27415700000051</v>
      </c>
      <c r="M11" s="9">
        <f t="shared" si="6"/>
        <v>0</v>
      </c>
      <c r="N11" s="9">
        <f t="shared" si="7"/>
        <v>0.30992288363239046</v>
      </c>
      <c r="O11" s="9">
        <f t="shared" si="8"/>
        <v>0</v>
      </c>
      <c r="P11" s="9">
        <f t="shared" si="9"/>
        <v>0.34442549912667964</v>
      </c>
      <c r="Q11" s="9">
        <f t="shared" si="10"/>
        <v>0.34565161724092991</v>
      </c>
    </row>
    <row r="12" spans="1:17" x14ac:dyDescent="0.3">
      <c r="A12" s="4">
        <v>45809</v>
      </c>
      <c r="B12" s="8">
        <v>0</v>
      </c>
      <c r="C12" s="8">
        <v>-39471.368000000017</v>
      </c>
      <c r="D12" s="8">
        <v>0</v>
      </c>
      <c r="E12" s="8">
        <v>-57124.033999999949</v>
      </c>
      <c r="F12" s="8">
        <v>-66831.097999999518</v>
      </c>
      <c r="G12" s="5">
        <f t="shared" si="0"/>
        <v>0</v>
      </c>
      <c r="H12" s="5">
        <f t="shared" si="1"/>
        <v>39.47136800000002</v>
      </c>
      <c r="I12" s="5">
        <f t="shared" si="2"/>
        <v>0</v>
      </c>
      <c r="J12" s="5">
        <f t="shared" si="3"/>
        <v>57.124033999999952</v>
      </c>
      <c r="K12" s="5">
        <f t="shared" si="4"/>
        <v>66.831097999999514</v>
      </c>
      <c r="L12" s="5">
        <f t="shared" si="5"/>
        <v>163.42649999999949</v>
      </c>
      <c r="M12" s="9">
        <f t="shared" si="6"/>
        <v>0</v>
      </c>
      <c r="N12" s="9">
        <f t="shared" si="7"/>
        <v>0.24152366966189781</v>
      </c>
      <c r="O12" s="9">
        <f t="shared" si="8"/>
        <v>0</v>
      </c>
      <c r="P12" s="9">
        <f t="shared" si="9"/>
        <v>0.349539603430289</v>
      </c>
      <c r="Q12" s="9">
        <f t="shared" si="10"/>
        <v>0.40893672690781313</v>
      </c>
    </row>
    <row r="13" spans="1:17" x14ac:dyDescent="0.3">
      <c r="A13" s="4">
        <v>45839</v>
      </c>
      <c r="B13" s="8">
        <v>0</v>
      </c>
      <c r="C13" s="8">
        <v>-12669.854999999983</v>
      </c>
      <c r="D13" s="8">
        <v>0</v>
      </c>
      <c r="E13" s="8">
        <v>-102034.4559999996</v>
      </c>
      <c r="F13" s="8">
        <v>-56719.895999999899</v>
      </c>
      <c r="G13" s="5">
        <f t="shared" si="0"/>
        <v>0</v>
      </c>
      <c r="H13" s="5">
        <f t="shared" si="1"/>
        <v>12.669854999999982</v>
      </c>
      <c r="I13" s="5">
        <f t="shared" si="2"/>
        <v>0</v>
      </c>
      <c r="J13" s="5">
        <f t="shared" si="3"/>
        <v>102.03445599999959</v>
      </c>
      <c r="K13" s="5">
        <f t="shared" si="4"/>
        <v>56.719895999999899</v>
      </c>
      <c r="L13" s="5">
        <f t="shared" si="5"/>
        <v>171.42420699999948</v>
      </c>
      <c r="M13" s="9">
        <f t="shared" si="6"/>
        <v>0</v>
      </c>
      <c r="N13" s="9">
        <f t="shared" si="7"/>
        <v>7.3909369170948078E-2</v>
      </c>
      <c r="O13" s="9">
        <f t="shared" si="8"/>
        <v>0</v>
      </c>
      <c r="P13" s="9">
        <f t="shared" si="9"/>
        <v>0.59521614704042292</v>
      </c>
      <c r="Q13" s="9">
        <f t="shared" si="10"/>
        <v>0.33087448378862894</v>
      </c>
    </row>
    <row r="14" spans="1:17" x14ac:dyDescent="0.3">
      <c r="A14" s="4">
        <v>45870</v>
      </c>
      <c r="B14" s="8">
        <v>0</v>
      </c>
      <c r="C14" s="8">
        <v>-39678.715000000047</v>
      </c>
      <c r="D14" s="8">
        <v>0</v>
      </c>
      <c r="E14" s="8">
        <v>-99601.084000000337</v>
      </c>
      <c r="F14" s="8">
        <v>-60793.718000000052</v>
      </c>
      <c r="G14" s="5">
        <f t="shared" si="0"/>
        <v>0</v>
      </c>
      <c r="H14" s="5">
        <f t="shared" si="1"/>
        <v>39.678715000000047</v>
      </c>
      <c r="I14" s="5">
        <f t="shared" si="2"/>
        <v>0</v>
      </c>
      <c r="J14" s="5">
        <f t="shared" si="3"/>
        <v>99.601084000000341</v>
      </c>
      <c r="K14" s="5">
        <f t="shared" si="4"/>
        <v>60.793718000000055</v>
      </c>
      <c r="L14" s="5">
        <f t="shared" si="5"/>
        <v>200.07351700000044</v>
      </c>
      <c r="M14" s="9">
        <f t="shared" si="6"/>
        <v>0</v>
      </c>
      <c r="N14" s="9">
        <f t="shared" si="7"/>
        <v>0.19832067529457165</v>
      </c>
      <c r="O14" s="9">
        <f t="shared" si="8"/>
        <v>0</v>
      </c>
      <c r="P14" s="9">
        <f t="shared" si="9"/>
        <v>0.49782242794282527</v>
      </c>
      <c r="Q14" s="9">
        <f t="shared" si="10"/>
        <v>0.30385689676260313</v>
      </c>
    </row>
    <row r="15" spans="1:17" x14ac:dyDescent="0.3">
      <c r="A15" s="4">
        <v>45901</v>
      </c>
      <c r="B15" s="8">
        <v>0</v>
      </c>
      <c r="C15" s="8">
        <v>-77951.985000000292</v>
      </c>
      <c r="D15" s="8">
        <v>0</v>
      </c>
      <c r="E15" s="8">
        <v>-82524.798999999999</v>
      </c>
      <c r="F15" s="8">
        <v>-62956.335000000101</v>
      </c>
      <c r="G15" s="5">
        <f>B15/(-1000)</f>
        <v>0</v>
      </c>
      <c r="H15" s="5">
        <f t="shared" ref="H15:K15" si="11">C15/(-1000)</f>
        <v>77.951985000000292</v>
      </c>
      <c r="I15" s="5">
        <f t="shared" si="11"/>
        <v>0</v>
      </c>
      <c r="J15" s="5">
        <f t="shared" si="11"/>
        <v>82.524799000000002</v>
      </c>
      <c r="K15" s="5">
        <f t="shared" si="11"/>
        <v>62.956335000000102</v>
      </c>
      <c r="L15" s="5">
        <f>SUM(G15:K15)</f>
        <v>223.4331190000004</v>
      </c>
      <c r="M15" s="9">
        <f t="shared" ref="M15" si="12">G15/$L15</f>
        <v>0</v>
      </c>
      <c r="N15" s="9">
        <f t="shared" ref="N15" si="13">H15/$L15</f>
        <v>0.34888285742455283</v>
      </c>
      <c r="O15" s="9">
        <f t="shared" ref="O15" si="14">I15/$L15</f>
        <v>0</v>
      </c>
      <c r="P15" s="9">
        <f t="shared" ref="P15" si="15">J15/$L15</f>
        <v>0.36934899968880552</v>
      </c>
      <c r="Q15" s="9">
        <f t="shared" ref="Q15" si="16">K15/$L15</f>
        <v>0.28176814288664159</v>
      </c>
    </row>
    <row r="16" spans="1:17" x14ac:dyDescent="0.3">
      <c r="A16" s="4">
        <v>45931</v>
      </c>
      <c r="B16" s="8">
        <v>0</v>
      </c>
      <c r="C16" s="8">
        <v>-73418.315000000424</v>
      </c>
      <c r="D16" s="8">
        <v>0</v>
      </c>
      <c r="E16" s="8">
        <v>-53414.476000000133</v>
      </c>
      <c r="F16" s="8">
        <v>-89099.026999999332</v>
      </c>
      <c r="G16" s="5">
        <f>B16/(-1000)</f>
        <v>0</v>
      </c>
      <c r="H16" s="5">
        <f t="shared" ref="H16" si="17">C16/(-1000)</f>
        <v>73.418315000000419</v>
      </c>
      <c r="I16" s="5">
        <f t="shared" ref="I16" si="18">D16/(-1000)</f>
        <v>0</v>
      </c>
      <c r="J16" s="5">
        <f t="shared" ref="J16" si="19">E16/(-1000)</f>
        <v>53.414476000000136</v>
      </c>
      <c r="K16" s="5">
        <f t="shared" ref="K16" si="20">F16/(-1000)</f>
        <v>89.099026999999339</v>
      </c>
      <c r="L16" s="5">
        <f>SUM(G16:K16)</f>
        <v>215.93181799999991</v>
      </c>
      <c r="M16" s="9">
        <f t="shared" ref="M16" si="21">G16/$L16</f>
        <v>0</v>
      </c>
      <c r="N16" s="9">
        <f t="shared" ref="N16" si="22">H16/$L16</f>
        <v>0.34000693218819866</v>
      </c>
      <c r="O16" s="9">
        <f t="shared" ref="O16" si="23">I16/$L16</f>
        <v>0</v>
      </c>
      <c r="P16" s="9">
        <f t="shared" ref="P16" si="24">J16/$L16</f>
        <v>0.24736732406893439</v>
      </c>
      <c r="Q16" s="9">
        <f t="shared" ref="Q16" si="25">K16/$L16</f>
        <v>0.41262574374286692</v>
      </c>
    </row>
    <row r="18" spans="3:3" x14ac:dyDescent="0.3">
      <c r="C18" s="25">
        <f>SUM(C16:F16)</f>
        <v>-215931.81799999988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ANTP</vt:lpstr>
      <vt:lpstr>XIVA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komilerkinov39@gmail.com</cp:lastModifiedBy>
  <cp:revision>1</cp:revision>
  <dcterms:modified xsi:type="dcterms:W3CDTF">2026-08-22T16:53:10Z</dcterms:modified>
  <cp:category/>
</cp:coreProperties>
</file>