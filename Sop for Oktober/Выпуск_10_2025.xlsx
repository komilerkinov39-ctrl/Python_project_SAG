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313\Desktop\Python_project_SAG\Sop for Oktober\"/>
    </mc:Choice>
  </mc:AlternateContent>
  <xr:revisionPtr revIDLastSave="0" documentId="13_ncr:1_{F2A5517C-6FCE-414F-848E-6FBAA700D116}" xr6:coauthVersionLast="47" xr6:coauthVersionMax="47" xr10:uidLastSave="{00000000-0000-0000-0000-000000000000}"/>
  <bookViews>
    <workbookView xWindow="-108" yWindow="-108" windowWidth="23256" windowHeight="12456" xr2:uid="{1F971714-E7C5-4466-A19C-96BA27E81D9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2" i="1" l="1"/>
  <c r="H3" i="1"/>
  <c r="X3" i="1" s="1"/>
  <c r="I3" i="1"/>
  <c r="J3" i="1"/>
  <c r="Z3" i="1" s="1"/>
  <c r="K3" i="1"/>
  <c r="AA3" i="1" s="1"/>
  <c r="L3" i="1"/>
  <c r="AB3" i="1" s="1"/>
  <c r="M3" i="1"/>
  <c r="AC3" i="1" s="1"/>
  <c r="N3" i="1"/>
  <c r="AD3" i="1" s="1"/>
  <c r="K5" i="1"/>
  <c r="AA5" i="1" s="1"/>
  <c r="M5" i="1"/>
  <c r="AC5" i="1" s="1"/>
  <c r="N5" i="1"/>
  <c r="AD5" i="1" s="1"/>
  <c r="K6" i="1"/>
  <c r="AA6" i="1" s="1"/>
  <c r="M6" i="1"/>
  <c r="AC6" i="1" s="1"/>
  <c r="N6" i="1"/>
  <c r="AD6" i="1" s="1"/>
  <c r="K7" i="1"/>
  <c r="AA7" i="1" s="1"/>
  <c r="M7" i="1"/>
  <c r="AC7" i="1" s="1"/>
  <c r="N7" i="1"/>
  <c r="AD7" i="1" s="1"/>
  <c r="K8" i="1"/>
  <c r="AA8" i="1" s="1"/>
  <c r="M8" i="1"/>
  <c r="AC8" i="1" s="1"/>
  <c r="N8" i="1"/>
  <c r="AD8" i="1" s="1"/>
  <c r="K9" i="1"/>
  <c r="AA9" i="1" s="1"/>
  <c r="M9" i="1"/>
  <c r="AC9" i="1" s="1"/>
  <c r="N9" i="1"/>
  <c r="AD9" i="1" s="1"/>
  <c r="K10" i="1"/>
  <c r="AA10" i="1" s="1"/>
  <c r="M10" i="1"/>
  <c r="AC10" i="1" s="1"/>
  <c r="N10" i="1"/>
  <c r="AD10" i="1" s="1"/>
  <c r="K11" i="1"/>
  <c r="AA11" i="1" s="1"/>
  <c r="M11" i="1"/>
  <c r="AC11" i="1" s="1"/>
  <c r="N11" i="1"/>
  <c r="AD11" i="1" s="1"/>
  <c r="O15" i="1"/>
  <c r="G3" i="1"/>
  <c r="Y3" i="1" l="1"/>
  <c r="W3" i="1"/>
  <c r="M4" i="1" l="1"/>
  <c r="N4" i="1"/>
  <c r="K4" i="1"/>
  <c r="L4" i="1"/>
  <c r="AA4" i="1" l="1"/>
  <c r="K12" i="1"/>
  <c r="AC4" i="1"/>
  <c r="M12" i="1"/>
  <c r="AD4" i="1"/>
  <c r="N12" i="1"/>
  <c r="AB4" i="1"/>
  <c r="N15" i="1" l="1"/>
  <c r="AD12" i="1"/>
  <c r="M15" i="1"/>
  <c r="AC12" i="1"/>
  <c r="K15" i="1"/>
  <c r="AA12" i="1"/>
  <c r="F3" i="1"/>
  <c r="V3" i="1" s="1"/>
  <c r="AD14" i="1"/>
  <c r="AC14" i="1"/>
  <c r="AB14" i="1"/>
  <c r="AA14" i="1"/>
  <c r="Z14" i="1"/>
  <c r="Y14" i="1"/>
  <c r="X14" i="1"/>
  <c r="W14" i="1"/>
  <c r="V14" i="1"/>
  <c r="U14" i="1"/>
  <c r="T14" i="1"/>
  <c r="F4" i="1" l="1"/>
  <c r="V4" i="1" s="1"/>
  <c r="E3" i="1" l="1"/>
  <c r="U3" i="1" s="1"/>
  <c r="E4" i="1" l="1"/>
  <c r="U4" i="1" s="1"/>
  <c r="AE14" i="1" l="1"/>
  <c r="D5" i="1" l="1"/>
  <c r="T5" i="1" s="1"/>
  <c r="C12" i="1"/>
  <c r="C15" i="1" s="1"/>
  <c r="S4" i="1"/>
  <c r="S5" i="1"/>
  <c r="L11" i="1" l="1"/>
  <c r="AB11" i="1" s="1"/>
  <c r="H11" i="1"/>
  <c r="X11" i="1" s="1"/>
  <c r="F11" i="1"/>
  <c r="V11" i="1" s="1"/>
  <c r="E11" i="1"/>
  <c r="U11" i="1" s="1"/>
  <c r="L10" i="1"/>
  <c r="AB10" i="1" s="1"/>
  <c r="H10" i="1"/>
  <c r="X10" i="1" s="1"/>
  <c r="F10" i="1"/>
  <c r="V10" i="1" s="1"/>
  <c r="E10" i="1"/>
  <c r="U10" i="1" s="1"/>
  <c r="L9" i="1"/>
  <c r="AB9" i="1" s="1"/>
  <c r="H9" i="1"/>
  <c r="X9" i="1" s="1"/>
  <c r="G9" i="1"/>
  <c r="F9" i="1"/>
  <c r="V9" i="1" s="1"/>
  <c r="E9" i="1"/>
  <c r="U9" i="1" s="1"/>
  <c r="L8" i="1"/>
  <c r="AB8" i="1" s="1"/>
  <c r="H8" i="1"/>
  <c r="F8" i="1"/>
  <c r="V8" i="1" s="1"/>
  <c r="E8" i="1"/>
  <c r="U8" i="1" s="1"/>
  <c r="L7" i="1"/>
  <c r="AB7" i="1" s="1"/>
  <c r="H7" i="1"/>
  <c r="F7" i="1"/>
  <c r="V7" i="1" s="1"/>
  <c r="E7" i="1"/>
  <c r="L6" i="1"/>
  <c r="AB6" i="1" s="1"/>
  <c r="H6" i="1"/>
  <c r="X6" i="1" s="1"/>
  <c r="F6" i="1"/>
  <c r="V6" i="1" s="1"/>
  <c r="E6" i="1"/>
  <c r="U6" i="1" s="1"/>
  <c r="E5" i="1"/>
  <c r="U5" i="1" s="1"/>
  <c r="AE11" i="1"/>
  <c r="AE10" i="1"/>
  <c r="AE9" i="1"/>
  <c r="AE8" i="1"/>
  <c r="AE7" i="1"/>
  <c r="AE6" i="1"/>
  <c r="AE5" i="1"/>
  <c r="AE4" i="1"/>
  <c r="AE3" i="1"/>
  <c r="L5" i="1" l="1"/>
  <c r="X8" i="1"/>
  <c r="X7" i="1"/>
  <c r="W9" i="1"/>
  <c r="F5" i="1"/>
  <c r="E12" i="1"/>
  <c r="U7" i="1"/>
  <c r="G6" i="1"/>
  <c r="AB5" i="1" l="1"/>
  <c r="L12" i="1"/>
  <c r="F12" i="1"/>
  <c r="V5" i="1"/>
  <c r="W6" i="1"/>
  <c r="U12" i="1"/>
  <c r="E15" i="1"/>
  <c r="L15" i="1" l="1"/>
  <c r="AB12" i="1"/>
  <c r="F15" i="1"/>
  <c r="V12" i="1"/>
  <c r="S9" i="1" l="1"/>
  <c r="S8" i="1"/>
  <c r="S7" i="1"/>
  <c r="S6" i="1"/>
  <c r="S11" i="1"/>
  <c r="S10" i="1"/>
  <c r="S3" i="1"/>
  <c r="S12" i="1"/>
  <c r="D3" i="1" l="1"/>
  <c r="D11" i="1"/>
  <c r="T11" i="1" s="1"/>
  <c r="D7" i="1"/>
  <c r="T7" i="1" s="1"/>
  <c r="D10" i="1"/>
  <c r="T10" i="1" s="1"/>
  <c r="D9" i="1"/>
  <c r="T9" i="1" s="1"/>
  <c r="D6" i="1"/>
  <c r="T6" i="1" s="1"/>
  <c r="D8" i="1"/>
  <c r="T8" i="1" s="1"/>
  <c r="D4" i="1" l="1"/>
  <c r="T4" i="1" s="1"/>
  <c r="T3" i="1"/>
  <c r="D12" i="1"/>
  <c r="D15" i="1" l="1"/>
  <c r="T12" i="1"/>
  <c r="G11" i="1" l="1"/>
  <c r="G8" i="1" l="1"/>
  <c r="W8" i="1" s="1"/>
  <c r="G10" i="1"/>
  <c r="G7" i="1"/>
  <c r="G5" i="1"/>
  <c r="W11" i="1"/>
  <c r="G4" i="1" l="1"/>
  <c r="W7" i="1"/>
  <c r="W5" i="1"/>
  <c r="W10" i="1"/>
  <c r="W4" i="1" l="1"/>
  <c r="G12" i="1"/>
  <c r="G15" i="1" l="1"/>
  <c r="W12" i="1"/>
  <c r="H5" i="1" l="1"/>
  <c r="X5" i="1" l="1"/>
  <c r="H4" i="1"/>
  <c r="X4" i="1" l="1"/>
  <c r="H12" i="1"/>
  <c r="X12" i="1" l="1"/>
  <c r="H15" i="1"/>
  <c r="I9" i="1" l="1"/>
  <c r="Y9" i="1" s="1"/>
  <c r="I6" i="1"/>
  <c r="Y6" i="1" s="1"/>
  <c r="I10" i="1" l="1"/>
  <c r="Y10" i="1" s="1"/>
  <c r="I7" i="1"/>
  <c r="Y7" i="1" s="1"/>
  <c r="I8" i="1"/>
  <c r="Y8" i="1" s="1"/>
  <c r="I11" i="1"/>
  <c r="Y11" i="1" s="1"/>
  <c r="I5" i="1"/>
  <c r="Y5" i="1" s="1"/>
  <c r="I4" i="1" l="1"/>
  <c r="Y4" i="1" l="1"/>
  <c r="I12" i="1"/>
  <c r="I15" i="1" l="1"/>
  <c r="Y12" i="1"/>
  <c r="J11" i="1" l="1"/>
  <c r="Z11" i="1" s="1"/>
  <c r="J8" i="1"/>
  <c r="Z8" i="1" s="1"/>
  <c r="J9" i="1"/>
  <c r="Z9" i="1" s="1"/>
  <c r="J6" i="1"/>
  <c r="Z6" i="1" s="1"/>
  <c r="J10" i="1" l="1"/>
  <c r="Z10" i="1" s="1"/>
  <c r="J7" i="1"/>
  <c r="Z7" i="1" s="1"/>
  <c r="J5" i="1"/>
  <c r="Z5" i="1" s="1"/>
  <c r="J4" i="1" l="1"/>
  <c r="Z4" i="1" l="1"/>
  <c r="J12" i="1"/>
  <c r="J15" i="1" l="1"/>
  <c r="Z12" i="1"/>
</calcChain>
</file>

<file path=xl/sharedStrings.xml><?xml version="1.0" encoding="utf-8"?>
<sst xmlns="http://schemas.openxmlformats.org/spreadsheetml/2006/main" count="67" uniqueCount="19">
  <si>
    <t>Antp+Xiva</t>
  </si>
  <si>
    <t>Бердо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</si>
  <si>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</si>
  <si>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</si>
  <si>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</si>
  <si>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</si>
  <si>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</si>
  <si>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</si>
  <si>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</si>
  <si>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</si>
  <si>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</si>
  <si>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</si>
  <si>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</si>
  <si>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</si>
  <si>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Всего</t>
  </si>
  <si>
    <t>Antp</t>
  </si>
  <si>
    <t>Xiva</t>
  </si>
  <si>
    <t>-</t>
  </si>
  <si>
    <t>ANTP+XIVA /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</si>
</sst>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33">
    <xf numFmtId="0" fontId="0" fillId="0" borderId="0" xfId="0"/>
    <xf numFmtId="0" fontId="0" fillId="0" borderId="3" xfId="0" applyBorder="1"/>
    <xf numFmtId="0" fontId="0" fillId="0" borderId="4" xfId="0" applyBorder="1"/>
    <xf numFmtId="0" fontId="2" fillId="2" borderId="5" xfId="0" applyFont="1" applyFill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43" fontId="0" fillId="0" borderId="6" xfId="0" applyNumberFormat="1" applyBorder="1"/>
    <xf numFmtId="43" fontId="3" fillId="0" borderId="7" xfId="0" applyNumberFormat="1" applyFont="1" applyBorder="1"/>
    <xf numFmtId="43" fontId="3" fillId="0" borderId="6" xfId="0" applyNumberFormat="1" applyFont="1" applyBorder="1"/>
    <xf numFmtId="0" fontId="0" fillId="0" borderId="9" xfId="0" applyBorder="1"/>
    <xf numFmtId="0" fontId="3" fillId="0" borderId="10" xfId="0" applyFont="1" applyBorder="1"/>
    <xf numFmtId="0" fontId="2" fillId="2" borderId="11" xfId="0" applyFont="1" applyFill="1" applyBorder="1" applyAlignment="1">
      <alignment horizontal="center"/>
    </xf>
    <xf numFmtId="164" fontId="3" fillId="0" borderId="12" xfId="1" applyNumberFormat="1" applyFont="1" applyBorder="1"/>
    <xf numFmtId="165" fontId="3" fillId="0" borderId="13" xfId="0" applyNumberFormat="1" applyFont="1" applyBorder="1"/>
    <xf numFmtId="0" fontId="3" fillId="0" borderId="14" xfId="0" applyFont="1" applyBorder="1" applyAlignment="1">
      <alignment horizontal="center"/>
    </xf>
    <xf numFmtId="0" fontId="0" fillId="0" borderId="10" xfId="0" applyBorder="1"/>
    <xf numFmtId="43" fontId="3" fillId="0" borderId="12" xfId="1" applyFont="1" applyBorder="1"/>
    <xf numFmtId="43" fontId="3" fillId="0" borderId="13" xfId="1" applyFont="1" applyBorder="1"/>
    <xf numFmtId="0" fontId="2" fillId="2" borderId="15" xfId="0" applyFont="1" applyFill="1" applyBorder="1" applyAlignment="1">
      <alignment horizontal="center"/>
    </xf>
    <xf numFmtId="17" fontId="2" fillId="3" borderId="16" xfId="0" applyNumberFormat="1" applyFont="1" applyFill="1" applyBorder="1" applyAlignment="1">
      <alignment horizontal="center"/>
    </xf>
    <xf numFmtId="17" fontId="2" fillId="3" borderId="17" xfId="0" applyNumberFormat="1" applyFont="1" applyFill="1" applyBorder="1" applyAlignment="1">
      <alignment horizontal="center"/>
    </xf>
    <xf numFmtId="165" fontId="0" fillId="0" borderId="6" xfId="0" applyNumberFormat="1" applyBorder="1"/>
    <xf numFmtId="165" fontId="3" fillId="0" borderId="7" xfId="0" applyNumberFormat="1" applyFont="1" applyBorder="1"/>
    <xf numFmtId="164" fontId="0" fillId="0" borderId="0" xfId="1" applyNumberFormat="1" applyFont="1"/>
    <xf numFmtId="164" fontId="3" fillId="0" borderId="6" xfId="0" applyNumberFormat="1" applyFont="1" applyBorder="1"/>
    <xf numFmtId="165" fontId="0" fillId="0" borderId="12" xfId="0" applyNumberFormat="1" applyBorder="1"/>
    <xf numFmtId="164" fontId="3" fillId="0" borderId="12" xfId="1" applyNumberFormat="1" applyFont="1" applyBorder="1" applyAlignment="1">
      <alignment horizontal="center" vertical="center"/>
    </xf>
    <xf numFmtId="164" fontId="3" fillId="0" borderId="13" xfId="1" applyNumberFormat="1" applyFont="1" applyBorder="1"/>
    <xf numFmtId="164" fontId="0" fillId="0" borderId="0" xfId="0" applyNumberFormat="1"/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0" xfId="0" applyFont="1"/>
  </cellXfs>
  <cellStyles count="3">
    <cellStyle name="Обычный" xfId="0" builtinId="0"/>
    <cellStyle name="Обычный 2" xfId="2" xr:uid="{DD7991EC-514B-4585-A91C-B446474C791E}"/>
    <cellStyle name="Финансовый" xfId="1" builtinId="3"/>
  </cellStyles>
  <dxfs count="0"/>
  <tableStyles count="0" defaultTableStyle="TableStyleMedium2" defaultPivotStyle="PivotStyleLight16"/>
  <colors>
    <mruColors>
      <color rgb="FFCC6600"/>
      <color rgb="FF6375D1"/>
      <color rgb="FF99BBFF"/>
      <color rgb="FFFF4B00"/>
      <color rgb="FF03C772"/>
      <color rgb="FF0742C4"/>
      <color rgb="FFC7B2A3"/>
      <color rgb="FFFF33CC"/>
      <color rgb="FF264478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74EA-D954-4F9C-ABC4-DEBC6395AB0B}">
  <dimension ref="B1:AE42"/>
  <sheetViews>
    <sheetView tabSelected="1" zoomScale="70" zoomScaleNormal="70" workbookViewId="0">
      <selection activeCell="Y20" sqref="Y20"/>
    </sheetView>
  </sheetViews>
  <sheetFormatPr defaultRowHeight="14.4" x14ac:dyDescent="0.3"/>
  <cols>
    <col min="2" max="2" width="6.88671875" bestFit="1" customWidth="1"/>
    <col min="3" max="11" width="13.77734375" bestFit="1" customWidth="1"/>
    <col min="12" max="12" width="14.5546875" bestFit="1" customWidth="1"/>
    <col min="13" max="14" width="12.88671875" bestFit="1" customWidth="1"/>
    <col min="15" max="15" width="14" bestFit="1" customWidth="1"/>
    <col min="18" max="18" width="16.6640625" bestFit="1" customWidth="1"/>
    <col min="19" max="19" width="13.33203125" bestFit="1" customWidth="1"/>
    <col min="20" max="28" width="11.5546875" bestFit="1" customWidth="1"/>
    <col min="29" max="30" width="9.6640625" bestFit="1" customWidth="1"/>
    <col min="31" max="31" width="11" bestFit="1" customWidth="1"/>
  </cols>
  <sheetData>
    <row r="1" spans="2:31" ht="15" thickBot="1" x14ac:dyDescent="0.35">
      <c r="B1" s="30" t="s">
        <v>0</v>
      </c>
      <c r="C1" s="3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R1" s="32" t="s">
        <v>18</v>
      </c>
    </row>
    <row r="2" spans="2:31" x14ac:dyDescent="0.3"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5" t="s">
        <v>14</v>
      </c>
      <c r="R2" s="19" t="s">
        <v>1</v>
      </c>
      <c r="S2" s="20" t="s">
        <v>2</v>
      </c>
      <c r="T2" s="20" t="s">
        <v>3</v>
      </c>
      <c r="U2" s="20" t="s">
        <v>4</v>
      </c>
      <c r="V2" s="20" t="s">
        <v>5</v>
      </c>
      <c r="W2" s="20" t="s">
        <v>6</v>
      </c>
      <c r="X2" s="20" t="s">
        <v>7</v>
      </c>
      <c r="Y2" s="20" t="s">
        <v>8</v>
      </c>
      <c r="Z2" s="20" t="s">
        <v>9</v>
      </c>
      <c r="AA2" s="20" t="s">
        <v>10</v>
      </c>
      <c r="AB2" s="20" t="s">
        <v>11</v>
      </c>
      <c r="AC2" s="20" t="s">
        <v>12</v>
      </c>
      <c r="AD2" s="20" t="s">
        <v>13</v>
      </c>
      <c r="AE2" s="21" t="s">
        <v>14</v>
      </c>
    </row>
    <row r="3" spans="2:31" x14ac:dyDescent="0.3">
      <c r="B3" s="6">
        <v>16</v>
      </c>
      <c r="C3" s="7">
        <v>0</v>
      </c>
      <c r="D3" s="7">
        <f>D20</f>
        <v>0</v>
      </c>
      <c r="E3" s="7">
        <f>E20</f>
        <v>0</v>
      </c>
      <c r="F3" s="7">
        <f>F20</f>
        <v>0</v>
      </c>
      <c r="G3" s="7">
        <f>G20</f>
        <v>0</v>
      </c>
      <c r="H3" s="7">
        <f t="shared" ref="H3:N3" si="0">H20</f>
        <v>0</v>
      </c>
      <c r="I3" s="7">
        <f t="shared" si="0"/>
        <v>0</v>
      </c>
      <c r="J3" s="7">
        <f t="shared" si="0"/>
        <v>0</v>
      </c>
      <c r="K3" s="7">
        <f t="shared" si="0"/>
        <v>0</v>
      </c>
      <c r="L3" s="7">
        <f t="shared" si="0"/>
        <v>0</v>
      </c>
      <c r="M3" s="7">
        <f t="shared" si="0"/>
        <v>0</v>
      </c>
      <c r="N3" s="7">
        <f t="shared" si="0"/>
        <v>0</v>
      </c>
      <c r="O3" s="8"/>
      <c r="R3" s="6">
        <v>16</v>
      </c>
      <c r="S3" s="22">
        <f>C3/1000</f>
        <v>0</v>
      </c>
      <c r="T3" s="22">
        <f>D3/1000</f>
        <v>0</v>
      </c>
      <c r="U3" s="22">
        <f>E3/1000</f>
        <v>0</v>
      </c>
      <c r="V3" s="22">
        <f t="shared" ref="V3:W3" si="1">F3/1000</f>
        <v>0</v>
      </c>
      <c r="W3" s="22">
        <f t="shared" si="1"/>
        <v>0</v>
      </c>
      <c r="X3" s="22">
        <f t="shared" ref="X3:X12" si="2">H3/1000</f>
        <v>0</v>
      </c>
      <c r="Y3" s="22">
        <f t="shared" ref="Y3:Y12" si="3">I3/1000</f>
        <v>0</v>
      </c>
      <c r="Z3" s="22">
        <f t="shared" ref="Z3:Z12" si="4">J3/1000</f>
        <v>0</v>
      </c>
      <c r="AA3" s="22">
        <f t="shared" ref="AA3:AA12" si="5">K3/1000</f>
        <v>0</v>
      </c>
      <c r="AB3" s="22">
        <f t="shared" ref="AB3:AB12" si="6">L3/1000</f>
        <v>0</v>
      </c>
      <c r="AC3" s="22">
        <f t="shared" ref="AC3:AC12" si="7">M3/1000</f>
        <v>0</v>
      </c>
      <c r="AD3" s="22">
        <f t="shared" ref="AD3:AE12" si="8">N3/1000</f>
        <v>0</v>
      </c>
      <c r="AE3" s="23">
        <f t="shared" ref="AE3:AE11" si="9">P3/1000</f>
        <v>0</v>
      </c>
    </row>
    <row r="4" spans="2:31" x14ac:dyDescent="0.3">
      <c r="B4" s="3">
        <v>32</v>
      </c>
      <c r="C4" s="7">
        <v>908423.11900000006</v>
      </c>
      <c r="D4" s="7">
        <f>D21+D37</f>
        <v>896923.72800000024</v>
      </c>
      <c r="E4" s="7">
        <f>E21+E37</f>
        <v>973676.37800000026</v>
      </c>
      <c r="F4" s="7">
        <f>F21+F37</f>
        <v>1009625.4820000003</v>
      </c>
      <c r="G4" s="7">
        <f>G21+G37</f>
        <v>949033.19400000037</v>
      </c>
      <c r="H4" s="7">
        <f>H21+H37</f>
        <v>846281.63600000041</v>
      </c>
      <c r="I4" s="7">
        <f>I21+I37</f>
        <v>984068.44599999976</v>
      </c>
      <c r="J4" s="7">
        <f>J21+J37</f>
        <v>952746.92900000035</v>
      </c>
      <c r="K4" s="7">
        <f>K21+K37</f>
        <v>922236.59099999978</v>
      </c>
      <c r="L4" s="7">
        <f>L21+L37</f>
        <v>963973.02399999928</v>
      </c>
      <c r="M4" s="7">
        <f>M21+M37</f>
        <v>0</v>
      </c>
      <c r="N4" s="7">
        <f>N21+N37</f>
        <v>0</v>
      </c>
      <c r="O4" s="8"/>
      <c r="R4" s="3">
        <v>32</v>
      </c>
      <c r="S4" s="22">
        <f t="shared" ref="S4:S12" si="10">C4/1000</f>
        <v>908.42311900000004</v>
      </c>
      <c r="T4" s="22">
        <f t="shared" ref="T4:T12" si="11">D4/1000</f>
        <v>896.92372800000021</v>
      </c>
      <c r="U4" s="22">
        <f t="shared" ref="U4:V12" si="12">E4/1000</f>
        <v>973.67637800000023</v>
      </c>
      <c r="V4" s="22">
        <f t="shared" si="12"/>
        <v>1009.6254820000003</v>
      </c>
      <c r="W4" s="22">
        <f>G4/1000</f>
        <v>949.03319400000032</v>
      </c>
      <c r="X4" s="22">
        <f t="shared" si="2"/>
        <v>846.28163600000039</v>
      </c>
      <c r="Y4" s="22">
        <f t="shared" si="3"/>
        <v>984.06844599999977</v>
      </c>
      <c r="Z4" s="22">
        <f t="shared" si="4"/>
        <v>952.74692900000036</v>
      </c>
      <c r="AA4" s="22">
        <f t="shared" si="5"/>
        <v>922.23659099999975</v>
      </c>
      <c r="AB4" s="22">
        <f t="shared" si="6"/>
        <v>963.97302399999933</v>
      </c>
      <c r="AC4" s="22">
        <f t="shared" si="7"/>
        <v>0</v>
      </c>
      <c r="AD4" s="22">
        <f t="shared" si="8"/>
        <v>0</v>
      </c>
      <c r="AE4" s="23">
        <f t="shared" si="9"/>
        <v>0</v>
      </c>
    </row>
    <row r="5" spans="2:31" x14ac:dyDescent="0.3">
      <c r="B5" s="3">
        <v>40</v>
      </c>
      <c r="C5" s="7">
        <v>255189.28899999996</v>
      </c>
      <c r="D5" s="7">
        <f>D22+D38</f>
        <v>296400.99</v>
      </c>
      <c r="E5" s="7">
        <f>E22+E38</f>
        <v>337923.09900000016</v>
      </c>
      <c r="F5" s="7">
        <f>F22+F38</f>
        <v>332158.75199999998</v>
      </c>
      <c r="G5" s="7">
        <f>G22+G38</f>
        <v>371088.47799999994</v>
      </c>
      <c r="H5" s="7">
        <f>H22+H38</f>
        <v>319146.15400000033</v>
      </c>
      <c r="I5" s="7">
        <f>I22+I38</f>
        <v>373460.60600000015</v>
      </c>
      <c r="J5" s="7">
        <f>J22+J38</f>
        <v>413018.04700000014</v>
      </c>
      <c r="K5" s="7">
        <f>K22+K38</f>
        <v>451688.49</v>
      </c>
      <c r="L5" s="7">
        <f>L22+L38</f>
        <v>453880.51800000016</v>
      </c>
      <c r="M5" s="7">
        <f>M22+M38</f>
        <v>0</v>
      </c>
      <c r="N5" s="7">
        <f>N22+N38</f>
        <v>0</v>
      </c>
      <c r="O5" s="8"/>
      <c r="R5" s="3">
        <v>40</v>
      </c>
      <c r="S5" s="22">
        <f t="shared" si="10"/>
        <v>255.18928899999997</v>
      </c>
      <c r="T5" s="22">
        <f t="shared" si="11"/>
        <v>296.40098999999998</v>
      </c>
      <c r="U5" s="22">
        <f t="shared" si="12"/>
        <v>337.92309900000015</v>
      </c>
      <c r="V5" s="22">
        <f t="shared" si="12"/>
        <v>332.15875199999999</v>
      </c>
      <c r="W5" s="22">
        <f t="shared" ref="W5:W12" si="13">G5/1000</f>
        <v>371.08847799999995</v>
      </c>
      <c r="X5" s="22">
        <f t="shared" si="2"/>
        <v>319.14615400000031</v>
      </c>
      <c r="Y5" s="22">
        <f t="shared" si="3"/>
        <v>373.46060600000015</v>
      </c>
      <c r="Z5" s="22">
        <f t="shared" si="4"/>
        <v>413.01804700000014</v>
      </c>
      <c r="AA5" s="22">
        <f t="shared" si="5"/>
        <v>451.68849</v>
      </c>
      <c r="AB5" s="22">
        <f t="shared" si="6"/>
        <v>453.88051800000017</v>
      </c>
      <c r="AC5" s="22">
        <f t="shared" si="7"/>
        <v>0</v>
      </c>
      <c r="AD5" s="22">
        <f t="shared" si="8"/>
        <v>0</v>
      </c>
      <c r="AE5" s="23">
        <f t="shared" si="9"/>
        <v>0</v>
      </c>
    </row>
    <row r="6" spans="2:31" x14ac:dyDescent="0.3">
      <c r="B6" s="3">
        <v>42</v>
      </c>
      <c r="C6" s="7">
        <v>0</v>
      </c>
      <c r="D6" s="7">
        <f t="shared" ref="D6:E11" si="14">D23</f>
        <v>0</v>
      </c>
      <c r="E6" s="7">
        <f t="shared" si="14"/>
        <v>0</v>
      </c>
      <c r="F6" s="7">
        <f t="shared" ref="F6:G6" si="15">F23</f>
        <v>0</v>
      </c>
      <c r="G6" s="7">
        <f t="shared" si="15"/>
        <v>0</v>
      </c>
      <c r="H6" s="7">
        <f t="shared" ref="H6:N6" si="16">H23</f>
        <v>0</v>
      </c>
      <c r="I6" s="7">
        <f t="shared" si="16"/>
        <v>0</v>
      </c>
      <c r="J6" s="7">
        <f t="shared" si="16"/>
        <v>0</v>
      </c>
      <c r="K6" s="7">
        <f t="shared" si="16"/>
        <v>0</v>
      </c>
      <c r="L6" s="7">
        <f t="shared" si="16"/>
        <v>0</v>
      </c>
      <c r="M6" s="7">
        <f t="shared" si="16"/>
        <v>0</v>
      </c>
      <c r="N6" s="7">
        <f t="shared" si="16"/>
        <v>0</v>
      </c>
      <c r="O6" s="8"/>
      <c r="R6" s="3">
        <v>42</v>
      </c>
      <c r="S6" s="22">
        <f t="shared" si="10"/>
        <v>0</v>
      </c>
      <c r="T6" s="22">
        <f t="shared" si="11"/>
        <v>0</v>
      </c>
      <c r="U6" s="22">
        <f t="shared" si="12"/>
        <v>0</v>
      </c>
      <c r="V6" s="22">
        <f t="shared" si="12"/>
        <v>0</v>
      </c>
      <c r="W6" s="22">
        <f t="shared" si="13"/>
        <v>0</v>
      </c>
      <c r="X6" s="22">
        <f t="shared" si="2"/>
        <v>0</v>
      </c>
      <c r="Y6" s="22">
        <f t="shared" si="3"/>
        <v>0</v>
      </c>
      <c r="Z6" s="22">
        <f t="shared" si="4"/>
        <v>0</v>
      </c>
      <c r="AA6" s="22">
        <f t="shared" si="5"/>
        <v>0</v>
      </c>
      <c r="AB6" s="22">
        <f t="shared" si="6"/>
        <v>0</v>
      </c>
      <c r="AC6" s="22">
        <f t="shared" si="7"/>
        <v>0</v>
      </c>
      <c r="AD6" s="22">
        <f t="shared" si="8"/>
        <v>0</v>
      </c>
      <c r="AE6" s="23">
        <f t="shared" si="9"/>
        <v>0</v>
      </c>
    </row>
    <row r="7" spans="2:31" x14ac:dyDescent="0.3">
      <c r="B7" s="3">
        <v>48</v>
      </c>
      <c r="C7" s="7">
        <v>106171.03399999999</v>
      </c>
      <c r="D7" s="7">
        <f t="shared" si="14"/>
        <v>112472.90200000005</v>
      </c>
      <c r="E7" s="7">
        <f t="shared" si="14"/>
        <v>121021.11</v>
      </c>
      <c r="F7" s="7">
        <f t="shared" ref="F7:G7" si="17">F24</f>
        <v>123120.07900000003</v>
      </c>
      <c r="G7" s="7">
        <f t="shared" si="17"/>
        <v>126239.886</v>
      </c>
      <c r="H7" s="7">
        <f t="shared" ref="H7:N7" si="18">H24</f>
        <v>121569.79000000004</v>
      </c>
      <c r="I7" s="7">
        <f t="shared" si="18"/>
        <v>108774.01099999997</v>
      </c>
      <c r="J7" s="7">
        <f t="shared" si="18"/>
        <v>118024.49999999997</v>
      </c>
      <c r="K7" s="7">
        <f t="shared" si="18"/>
        <v>116659.62100000004</v>
      </c>
      <c r="L7" s="7">
        <f t="shared" si="18"/>
        <v>105549.19600000001</v>
      </c>
      <c r="M7" s="7">
        <f t="shared" si="18"/>
        <v>0</v>
      </c>
      <c r="N7" s="7">
        <f t="shared" si="18"/>
        <v>0</v>
      </c>
      <c r="O7" s="8"/>
      <c r="R7" s="3">
        <v>48</v>
      </c>
      <c r="S7" s="22">
        <f t="shared" si="10"/>
        <v>106.17103399999999</v>
      </c>
      <c r="T7" s="22">
        <f t="shared" si="11"/>
        <v>112.47290200000005</v>
      </c>
      <c r="U7" s="22">
        <f t="shared" si="12"/>
        <v>121.02111000000001</v>
      </c>
      <c r="V7" s="22">
        <f t="shared" si="12"/>
        <v>123.12007900000003</v>
      </c>
      <c r="W7" s="22">
        <f t="shared" si="13"/>
        <v>126.239886</v>
      </c>
      <c r="X7" s="22">
        <f t="shared" si="2"/>
        <v>121.56979000000004</v>
      </c>
      <c r="Y7" s="22">
        <f t="shared" si="3"/>
        <v>108.77401099999997</v>
      </c>
      <c r="Z7" s="22">
        <f t="shared" si="4"/>
        <v>118.02449999999997</v>
      </c>
      <c r="AA7" s="22">
        <f t="shared" si="5"/>
        <v>116.65962100000004</v>
      </c>
      <c r="AB7" s="22">
        <f t="shared" si="6"/>
        <v>105.54919600000001</v>
      </c>
      <c r="AC7" s="22">
        <f t="shared" si="7"/>
        <v>0</v>
      </c>
      <c r="AD7" s="22">
        <f t="shared" si="8"/>
        <v>0</v>
      </c>
      <c r="AE7" s="23">
        <f t="shared" si="9"/>
        <v>0</v>
      </c>
    </row>
    <row r="8" spans="2:31" x14ac:dyDescent="0.3">
      <c r="B8" s="3">
        <v>70</v>
      </c>
      <c r="C8" s="7">
        <v>17017.450000000004</v>
      </c>
      <c r="D8" s="7">
        <f t="shared" si="14"/>
        <v>19605.191999999995</v>
      </c>
      <c r="E8" s="7">
        <f t="shared" si="14"/>
        <v>20841.611999999997</v>
      </c>
      <c r="F8" s="7">
        <f t="shared" ref="F8:G8" si="19">F25</f>
        <v>18124.959000000003</v>
      </c>
      <c r="G8" s="7">
        <f t="shared" si="19"/>
        <v>15583.697999999995</v>
      </c>
      <c r="H8" s="7">
        <f t="shared" ref="H8:N8" si="20">H25</f>
        <v>12253.457999999999</v>
      </c>
      <c r="I8" s="7">
        <f t="shared" si="20"/>
        <v>8596.0699999999961</v>
      </c>
      <c r="J8" s="7">
        <f t="shared" si="20"/>
        <v>13219.178000000002</v>
      </c>
      <c r="K8" s="7">
        <f t="shared" si="20"/>
        <v>12936.15</v>
      </c>
      <c r="L8" s="7">
        <f t="shared" si="20"/>
        <v>13743.346</v>
      </c>
      <c r="M8" s="7">
        <f t="shared" si="20"/>
        <v>0</v>
      </c>
      <c r="N8" s="7">
        <f t="shared" si="20"/>
        <v>0</v>
      </c>
      <c r="O8" s="8"/>
      <c r="R8" s="3">
        <v>70</v>
      </c>
      <c r="S8" s="22">
        <f t="shared" si="10"/>
        <v>17.017450000000004</v>
      </c>
      <c r="T8" s="22">
        <f t="shared" si="11"/>
        <v>19.605191999999995</v>
      </c>
      <c r="U8" s="22">
        <f t="shared" si="12"/>
        <v>20.841611999999998</v>
      </c>
      <c r="V8" s="22">
        <f t="shared" si="12"/>
        <v>18.124959000000004</v>
      </c>
      <c r="W8" s="22">
        <f t="shared" si="13"/>
        <v>15.583697999999995</v>
      </c>
      <c r="X8" s="22">
        <f t="shared" si="2"/>
        <v>12.253457999999998</v>
      </c>
      <c r="Y8" s="22">
        <f t="shared" si="3"/>
        <v>8.5960699999999957</v>
      </c>
      <c r="Z8" s="22">
        <f t="shared" si="4"/>
        <v>13.219178000000001</v>
      </c>
      <c r="AA8" s="22">
        <f t="shared" si="5"/>
        <v>12.93615</v>
      </c>
      <c r="AB8" s="22">
        <f t="shared" si="6"/>
        <v>13.743345999999999</v>
      </c>
      <c r="AC8" s="22">
        <f t="shared" si="7"/>
        <v>0</v>
      </c>
      <c r="AD8" s="22">
        <f t="shared" si="8"/>
        <v>0</v>
      </c>
      <c r="AE8" s="23">
        <f t="shared" si="9"/>
        <v>0</v>
      </c>
    </row>
    <row r="9" spans="2:31" x14ac:dyDescent="0.3">
      <c r="B9" s="3">
        <v>100</v>
      </c>
      <c r="C9" s="7">
        <v>0</v>
      </c>
      <c r="D9" s="7">
        <f t="shared" si="14"/>
        <v>0</v>
      </c>
      <c r="E9" s="7">
        <f t="shared" si="14"/>
        <v>0</v>
      </c>
      <c r="F9" s="7">
        <f t="shared" ref="F9:G9" si="21">F26</f>
        <v>0</v>
      </c>
      <c r="G9" s="7">
        <f t="shared" si="21"/>
        <v>0</v>
      </c>
      <c r="H9" s="7">
        <f t="shared" ref="H9:N9" si="22">H26</f>
        <v>0</v>
      </c>
      <c r="I9" s="7">
        <f t="shared" si="22"/>
        <v>0</v>
      </c>
      <c r="J9" s="7">
        <f t="shared" si="22"/>
        <v>0</v>
      </c>
      <c r="K9" s="7">
        <f t="shared" si="22"/>
        <v>0</v>
      </c>
      <c r="L9" s="7">
        <f t="shared" si="22"/>
        <v>0</v>
      </c>
      <c r="M9" s="7">
        <f t="shared" si="22"/>
        <v>0</v>
      </c>
      <c r="N9" s="7">
        <f t="shared" si="22"/>
        <v>0</v>
      </c>
      <c r="O9" s="8"/>
      <c r="R9" s="3">
        <v>100</v>
      </c>
      <c r="S9" s="22">
        <f t="shared" si="10"/>
        <v>0</v>
      </c>
      <c r="T9" s="22">
        <f t="shared" si="11"/>
        <v>0</v>
      </c>
      <c r="U9" s="22">
        <f t="shared" si="12"/>
        <v>0</v>
      </c>
      <c r="V9" s="22">
        <f t="shared" si="12"/>
        <v>0</v>
      </c>
      <c r="W9" s="22">
        <f t="shared" si="13"/>
        <v>0</v>
      </c>
      <c r="X9" s="22">
        <f t="shared" si="2"/>
        <v>0</v>
      </c>
      <c r="Y9" s="22">
        <f t="shared" si="3"/>
        <v>0</v>
      </c>
      <c r="Z9" s="22">
        <f t="shared" si="4"/>
        <v>0</v>
      </c>
      <c r="AA9" s="22">
        <f t="shared" si="5"/>
        <v>0</v>
      </c>
      <c r="AB9" s="22">
        <f t="shared" si="6"/>
        <v>0</v>
      </c>
      <c r="AC9" s="22">
        <f t="shared" si="7"/>
        <v>0</v>
      </c>
      <c r="AD9" s="22">
        <f t="shared" si="8"/>
        <v>0</v>
      </c>
      <c r="AE9" s="23">
        <f t="shared" si="9"/>
        <v>0</v>
      </c>
    </row>
    <row r="10" spans="2:31" x14ac:dyDescent="0.3">
      <c r="B10" s="3">
        <v>120</v>
      </c>
      <c r="C10" s="7">
        <v>15607.075000000001</v>
      </c>
      <c r="D10" s="7">
        <f t="shared" si="14"/>
        <v>18118.654999999995</v>
      </c>
      <c r="E10" s="7">
        <f t="shared" si="14"/>
        <v>22851.830999999995</v>
      </c>
      <c r="F10" s="7">
        <f t="shared" ref="F10:G10" si="23">F27</f>
        <v>23636.066999999995</v>
      </c>
      <c r="G10" s="7">
        <f t="shared" si="23"/>
        <v>20774.345999999998</v>
      </c>
      <c r="H10" s="7">
        <f t="shared" ref="H10:N10" si="24">H27</f>
        <v>18928.870999999999</v>
      </c>
      <c r="I10" s="7">
        <f t="shared" si="24"/>
        <v>21078.407999999999</v>
      </c>
      <c r="J10" s="7">
        <f t="shared" si="24"/>
        <v>19110.320999999993</v>
      </c>
      <c r="K10" s="7">
        <f t="shared" si="24"/>
        <v>19952.995999999996</v>
      </c>
      <c r="L10" s="7">
        <f t="shared" si="24"/>
        <v>24262.190999999999</v>
      </c>
      <c r="M10" s="7">
        <f t="shared" si="24"/>
        <v>0</v>
      </c>
      <c r="N10" s="7">
        <f t="shared" si="24"/>
        <v>0</v>
      </c>
      <c r="O10" s="8"/>
      <c r="R10" s="3">
        <v>120</v>
      </c>
      <c r="S10" s="22">
        <f t="shared" si="10"/>
        <v>15.607075</v>
      </c>
      <c r="T10" s="22">
        <f t="shared" si="11"/>
        <v>18.118654999999997</v>
      </c>
      <c r="U10" s="22">
        <f t="shared" si="12"/>
        <v>22.851830999999994</v>
      </c>
      <c r="V10" s="22">
        <f t="shared" si="12"/>
        <v>23.636066999999997</v>
      </c>
      <c r="W10" s="22">
        <f t="shared" si="13"/>
        <v>20.774345999999998</v>
      </c>
      <c r="X10" s="22">
        <f t="shared" si="2"/>
        <v>18.928871000000001</v>
      </c>
      <c r="Y10" s="22">
        <f t="shared" si="3"/>
        <v>21.078408</v>
      </c>
      <c r="Z10" s="22">
        <f t="shared" si="4"/>
        <v>19.110320999999992</v>
      </c>
      <c r="AA10" s="22">
        <f t="shared" si="5"/>
        <v>19.952995999999995</v>
      </c>
      <c r="AB10" s="22">
        <f t="shared" si="6"/>
        <v>24.262190999999998</v>
      </c>
      <c r="AC10" s="22">
        <f t="shared" si="7"/>
        <v>0</v>
      </c>
      <c r="AD10" s="22">
        <f t="shared" si="8"/>
        <v>0</v>
      </c>
      <c r="AE10" s="23">
        <f t="shared" si="9"/>
        <v>0</v>
      </c>
    </row>
    <row r="11" spans="2:31" x14ac:dyDescent="0.3">
      <c r="B11" s="3">
        <v>150</v>
      </c>
      <c r="C11" s="7">
        <v>2926.793000000001</v>
      </c>
      <c r="D11" s="7">
        <f t="shared" si="14"/>
        <v>2928.3729999999996</v>
      </c>
      <c r="E11" s="7">
        <f t="shared" si="14"/>
        <v>5227.8540000000021</v>
      </c>
      <c r="F11" s="7">
        <f t="shared" ref="F11:G11" si="25">F28</f>
        <v>4618.6019999999999</v>
      </c>
      <c r="G11" s="7">
        <f t="shared" si="25"/>
        <v>4713.9359999999997</v>
      </c>
      <c r="H11" s="7">
        <f t="shared" ref="H11:N11" si="26">H28</f>
        <v>3284.0080000000003</v>
      </c>
      <c r="I11" s="7">
        <f t="shared" si="26"/>
        <v>4378.7569999999996</v>
      </c>
      <c r="J11" s="7">
        <f t="shared" si="26"/>
        <v>5408.0160000000005</v>
      </c>
      <c r="K11" s="7">
        <f t="shared" si="26"/>
        <v>4912.9580000000005</v>
      </c>
      <c r="L11" s="7">
        <f t="shared" si="26"/>
        <v>5220.5719999999992</v>
      </c>
      <c r="M11" s="7">
        <f t="shared" si="26"/>
        <v>0</v>
      </c>
      <c r="N11" s="7">
        <f t="shared" si="26"/>
        <v>0</v>
      </c>
      <c r="O11" s="8"/>
      <c r="R11" s="3">
        <v>150</v>
      </c>
      <c r="S11" s="22">
        <f t="shared" si="10"/>
        <v>2.9267930000000009</v>
      </c>
      <c r="T11" s="22">
        <f t="shared" si="11"/>
        <v>2.9283729999999997</v>
      </c>
      <c r="U11" s="22">
        <f t="shared" si="12"/>
        <v>5.2278540000000024</v>
      </c>
      <c r="V11" s="22">
        <f t="shared" si="12"/>
        <v>4.6186020000000001</v>
      </c>
      <c r="W11" s="22">
        <f t="shared" si="13"/>
        <v>4.7139359999999995</v>
      </c>
      <c r="X11" s="22">
        <f t="shared" si="2"/>
        <v>3.2840080000000005</v>
      </c>
      <c r="Y11" s="22">
        <f t="shared" si="3"/>
        <v>4.3787569999999993</v>
      </c>
      <c r="Z11" s="22">
        <f t="shared" si="4"/>
        <v>5.4080160000000008</v>
      </c>
      <c r="AA11" s="22">
        <f t="shared" si="5"/>
        <v>4.9129580000000006</v>
      </c>
      <c r="AB11" s="22">
        <f t="shared" si="6"/>
        <v>5.2205719999999989</v>
      </c>
      <c r="AC11" s="22">
        <f t="shared" si="7"/>
        <v>0</v>
      </c>
      <c r="AD11" s="22">
        <f t="shared" si="8"/>
        <v>0</v>
      </c>
      <c r="AE11" s="23">
        <f t="shared" si="9"/>
        <v>0</v>
      </c>
    </row>
    <row r="12" spans="2:31" ht="15" thickBot="1" x14ac:dyDescent="0.35">
      <c r="B12" s="3" t="s">
        <v>14</v>
      </c>
      <c r="C12" s="9">
        <f>SUM(C3:C11)</f>
        <v>1305334.76</v>
      </c>
      <c r="D12" s="9">
        <f>SUM(D3:D11)</f>
        <v>1346449.8400000003</v>
      </c>
      <c r="E12" s="9">
        <f>SUM(E3:E11)</f>
        <v>1481541.8840000005</v>
      </c>
      <c r="F12" s="9">
        <f>SUM(F3:F11)</f>
        <v>1511283.9410000001</v>
      </c>
      <c r="G12" s="9">
        <f>SUM(G3:G11)</f>
        <v>1487433.5380000002</v>
      </c>
      <c r="H12" s="9">
        <f t="shared" ref="H12:N12" si="27">SUM(H3:H11)</f>
        <v>1321463.9170000008</v>
      </c>
      <c r="I12" s="9">
        <f t="shared" si="27"/>
        <v>1500356.298</v>
      </c>
      <c r="J12" s="9">
        <f t="shared" si="27"/>
        <v>1521526.9910000006</v>
      </c>
      <c r="K12" s="9">
        <f t="shared" si="27"/>
        <v>1528386.8059999999</v>
      </c>
      <c r="L12" s="9">
        <f t="shared" si="27"/>
        <v>1566628.8469999994</v>
      </c>
      <c r="M12" s="9">
        <f t="shared" si="27"/>
        <v>0</v>
      </c>
      <c r="N12" s="9">
        <f t="shared" si="27"/>
        <v>0</v>
      </c>
      <c r="O12" s="8"/>
      <c r="R12" s="12" t="s">
        <v>14</v>
      </c>
      <c r="S12" s="26">
        <f t="shared" si="10"/>
        <v>1305.33476</v>
      </c>
      <c r="T12" s="22">
        <f t="shared" si="11"/>
        <v>1346.4498400000002</v>
      </c>
      <c r="U12" s="22">
        <f t="shared" si="12"/>
        <v>1481.5418840000004</v>
      </c>
      <c r="V12" s="22">
        <f t="shared" si="12"/>
        <v>1511.2839410000001</v>
      </c>
      <c r="W12" s="22">
        <f t="shared" si="13"/>
        <v>1487.4335380000002</v>
      </c>
      <c r="X12" s="22">
        <f t="shared" si="2"/>
        <v>1321.4639170000007</v>
      </c>
      <c r="Y12" s="22">
        <f t="shared" si="3"/>
        <v>1500.3562979999999</v>
      </c>
      <c r="Z12" s="22">
        <f t="shared" si="4"/>
        <v>1521.5269910000006</v>
      </c>
      <c r="AA12" s="22">
        <f t="shared" si="5"/>
        <v>1528.386806</v>
      </c>
      <c r="AB12" s="22">
        <f t="shared" si="6"/>
        <v>1566.6288469999993</v>
      </c>
      <c r="AC12" s="22">
        <f t="shared" si="7"/>
        <v>0</v>
      </c>
      <c r="AD12" s="22">
        <f t="shared" si="8"/>
        <v>0</v>
      </c>
      <c r="AE12" s="22">
        <f t="shared" si="8"/>
        <v>0</v>
      </c>
    </row>
    <row r="13" spans="2:31" x14ac:dyDescent="0.3">
      <c r="B13" s="10"/>
      <c r="O13" s="11"/>
    </row>
    <row r="14" spans="2:31" ht="15" thickBot="1" x14ac:dyDescent="0.35">
      <c r="B14" s="3">
        <v>2024</v>
      </c>
      <c r="C14" s="13">
        <v>1304.0873070000002</v>
      </c>
      <c r="D14" s="13">
        <v>1323.7584630000001</v>
      </c>
      <c r="E14" s="13">
        <v>1382.9713750000005</v>
      </c>
      <c r="F14" s="13">
        <v>1188.9449539999998</v>
      </c>
      <c r="G14" s="13">
        <v>1369.2531530000003</v>
      </c>
      <c r="H14" s="13">
        <v>1153.6494700000003</v>
      </c>
      <c r="I14" s="13">
        <v>1433.6511850000004</v>
      </c>
      <c r="J14" s="13">
        <v>1475.6927599999999</v>
      </c>
      <c r="K14" s="13">
        <v>1493.1374569999998</v>
      </c>
      <c r="L14" s="13">
        <v>1334.1011920000005</v>
      </c>
      <c r="M14" s="13">
        <v>1564.5470559999997</v>
      </c>
      <c r="N14" s="13">
        <v>1518.2972049999998</v>
      </c>
      <c r="O14" s="14">
        <v>16542.091577000003</v>
      </c>
      <c r="R14" s="3">
        <v>2024</v>
      </c>
      <c r="S14" s="13">
        <v>1304</v>
      </c>
      <c r="T14" s="13">
        <f>D14</f>
        <v>1323.7584630000001</v>
      </c>
      <c r="U14" s="13">
        <f t="shared" ref="U14:AD14" si="28">E14</f>
        <v>1382.9713750000005</v>
      </c>
      <c r="V14" s="13">
        <f t="shared" si="28"/>
        <v>1188.9449539999998</v>
      </c>
      <c r="W14" s="13">
        <f t="shared" si="28"/>
        <v>1369.2531530000003</v>
      </c>
      <c r="X14" s="13">
        <f t="shared" si="28"/>
        <v>1153.6494700000003</v>
      </c>
      <c r="Y14" s="13">
        <f t="shared" si="28"/>
        <v>1433.6511850000004</v>
      </c>
      <c r="Z14" s="13">
        <f t="shared" si="28"/>
        <v>1475.6927599999999</v>
      </c>
      <c r="AA14" s="13">
        <f t="shared" si="28"/>
        <v>1493.1374569999998</v>
      </c>
      <c r="AB14" s="13">
        <f t="shared" si="28"/>
        <v>1334.1011920000005</v>
      </c>
      <c r="AC14" s="13">
        <f t="shared" si="28"/>
        <v>1564.5470559999997</v>
      </c>
      <c r="AD14" s="13">
        <f t="shared" si="28"/>
        <v>1518.2972049999998</v>
      </c>
      <c r="AE14" s="28">
        <f>16542.091577/10</f>
        <v>1654.2091576999999</v>
      </c>
    </row>
    <row r="15" spans="2:31" ht="15" thickBot="1" x14ac:dyDescent="0.35">
      <c r="B15" s="12">
        <v>2025</v>
      </c>
      <c r="C15" s="13">
        <f>C12/1000</f>
        <v>1305.33476</v>
      </c>
      <c r="D15" s="13">
        <f>D12/1000</f>
        <v>1346.4498400000002</v>
      </c>
      <c r="E15" s="13">
        <f>E12/1000</f>
        <v>1481.5418840000004</v>
      </c>
      <c r="F15" s="13">
        <f>F12/1000</f>
        <v>1511.2839410000001</v>
      </c>
      <c r="G15" s="13">
        <f>G12/1000</f>
        <v>1487.4335380000002</v>
      </c>
      <c r="H15" s="13">
        <f t="shared" ref="H15:O15" si="29">H12/1000</f>
        <v>1321.4639170000007</v>
      </c>
      <c r="I15" s="13">
        <f t="shared" si="29"/>
        <v>1500.3562979999999</v>
      </c>
      <c r="J15" s="13">
        <f t="shared" si="29"/>
        <v>1521.5269910000006</v>
      </c>
      <c r="K15" s="13">
        <f t="shared" si="29"/>
        <v>1528.386806</v>
      </c>
      <c r="L15" s="13">
        <f t="shared" si="29"/>
        <v>1566.6288469999993</v>
      </c>
      <c r="M15" s="13">
        <f t="shared" si="29"/>
        <v>0</v>
      </c>
      <c r="N15" s="13">
        <f t="shared" si="29"/>
        <v>0</v>
      </c>
      <c r="O15" s="13">
        <f t="shared" si="29"/>
        <v>0</v>
      </c>
      <c r="R15" s="12">
        <v>2025</v>
      </c>
      <c r="S15" s="13">
        <v>1292.2048709999976</v>
      </c>
      <c r="T15" s="27">
        <v>1193.9149040000011</v>
      </c>
      <c r="U15" s="27">
        <v>1333.6824000000011</v>
      </c>
      <c r="V15" s="13">
        <v>1394.0582520000005</v>
      </c>
      <c r="W15" s="27">
        <v>1325.5073179999995</v>
      </c>
      <c r="X15" s="27">
        <v>1173.8637170000002</v>
      </c>
      <c r="Y15" s="27">
        <v>1392.2180780000003</v>
      </c>
      <c r="Z15" s="27">
        <v>1369.3086409999974</v>
      </c>
      <c r="AA15" s="27">
        <v>1396.2019950000017</v>
      </c>
      <c r="AB15" s="27">
        <v>1423.5677190000024</v>
      </c>
      <c r="AC15" s="27" t="s">
        <v>17</v>
      </c>
      <c r="AD15" s="27" t="s">
        <v>17</v>
      </c>
      <c r="AE15" s="27" t="s">
        <v>17</v>
      </c>
    </row>
    <row r="17" spans="2:30" ht="15" thickBot="1" x14ac:dyDescent="0.35"/>
    <row r="18" spans="2:30" x14ac:dyDescent="0.3">
      <c r="B18" s="15" t="s">
        <v>15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2:30" x14ac:dyDescent="0.3">
      <c r="B19" s="3" t="s">
        <v>1</v>
      </c>
      <c r="C19" s="4" t="s">
        <v>2</v>
      </c>
      <c r="D19" s="4" t="s">
        <v>3</v>
      </c>
      <c r="E19" s="4" t="s">
        <v>4</v>
      </c>
      <c r="F19" s="4" t="s">
        <v>5</v>
      </c>
      <c r="G19" s="4" t="s">
        <v>6</v>
      </c>
      <c r="H19" s="4" t="s">
        <v>7</v>
      </c>
      <c r="I19" s="4" t="s">
        <v>8</v>
      </c>
      <c r="J19" s="4" t="s">
        <v>9</v>
      </c>
      <c r="K19" s="4" t="s">
        <v>10</v>
      </c>
      <c r="L19" s="4" t="s">
        <v>11</v>
      </c>
      <c r="M19" s="4" t="s">
        <v>12</v>
      </c>
      <c r="N19" s="4" t="s">
        <v>13</v>
      </c>
      <c r="O19" s="5" t="s">
        <v>14</v>
      </c>
    </row>
    <row r="20" spans="2:30" x14ac:dyDescent="0.3">
      <c r="B20" s="6">
        <v>16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8"/>
    </row>
    <row r="21" spans="2:30" x14ac:dyDescent="0.3">
      <c r="B21" s="3">
        <v>32</v>
      </c>
      <c r="C21" s="7">
        <v>436849.23600000009</v>
      </c>
      <c r="D21" s="7">
        <v>371107.91600000008</v>
      </c>
      <c r="E21" s="7">
        <v>388384.66400000016</v>
      </c>
      <c r="F21" s="7">
        <v>396111.57500000007</v>
      </c>
      <c r="G21" s="7">
        <v>317730.68000000011</v>
      </c>
      <c r="H21" s="7">
        <v>257737.10399999999</v>
      </c>
      <c r="I21" s="7">
        <v>279072.53000000003</v>
      </c>
      <c r="J21" s="7">
        <v>298903.69400000013</v>
      </c>
      <c r="K21" s="7">
        <v>275696.33800000005</v>
      </c>
      <c r="L21" s="7">
        <v>307707.8440000001</v>
      </c>
      <c r="M21" s="7">
        <v>0</v>
      </c>
      <c r="N21" s="7">
        <v>0</v>
      </c>
      <c r="O21" s="8"/>
    </row>
    <row r="22" spans="2:30" x14ac:dyDescent="0.3">
      <c r="B22" s="3">
        <v>40</v>
      </c>
      <c r="C22" s="7">
        <v>192803.13099999996</v>
      </c>
      <c r="D22" s="7">
        <v>185739.82999999996</v>
      </c>
      <c r="E22" s="7">
        <v>228125.88700000008</v>
      </c>
      <c r="F22" s="7">
        <v>229824.99899999998</v>
      </c>
      <c r="G22" s="7">
        <v>260261.15399999998</v>
      </c>
      <c r="H22" s="7">
        <v>234961.2600000003</v>
      </c>
      <c r="I22" s="7">
        <v>271221.78000000014</v>
      </c>
      <c r="J22" s="7">
        <v>292837.51500000007</v>
      </c>
      <c r="K22" s="7">
        <v>302811.21699999995</v>
      </c>
      <c r="L22" s="7">
        <v>315745.7620000001</v>
      </c>
      <c r="M22" s="7">
        <v>0</v>
      </c>
      <c r="N22" s="7">
        <v>0</v>
      </c>
      <c r="O22" s="8"/>
    </row>
    <row r="23" spans="2:30" x14ac:dyDescent="0.3">
      <c r="B23" s="3">
        <v>42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8"/>
    </row>
    <row r="24" spans="2:30" x14ac:dyDescent="0.3">
      <c r="B24" s="3">
        <v>48</v>
      </c>
      <c r="C24" s="7">
        <v>106171.03399999999</v>
      </c>
      <c r="D24" s="7">
        <v>112472.90200000005</v>
      </c>
      <c r="E24" s="7">
        <v>121021.11</v>
      </c>
      <c r="F24" s="7">
        <v>123120.07900000003</v>
      </c>
      <c r="G24" s="7">
        <v>126239.886</v>
      </c>
      <c r="H24" s="7">
        <v>121569.79000000004</v>
      </c>
      <c r="I24" s="7">
        <v>108774.01099999997</v>
      </c>
      <c r="J24" s="7">
        <v>118024.49999999997</v>
      </c>
      <c r="K24" s="7">
        <v>116659.62100000004</v>
      </c>
      <c r="L24" s="7">
        <v>105549.19600000001</v>
      </c>
      <c r="M24" s="7">
        <v>0</v>
      </c>
      <c r="N24" s="7">
        <v>0</v>
      </c>
      <c r="O24" s="8"/>
    </row>
    <row r="25" spans="2:30" x14ac:dyDescent="0.3">
      <c r="B25" s="3">
        <v>70</v>
      </c>
      <c r="C25" s="7">
        <v>17017.450000000004</v>
      </c>
      <c r="D25" s="7">
        <v>19605.191999999995</v>
      </c>
      <c r="E25" s="7">
        <v>20841.611999999997</v>
      </c>
      <c r="F25" s="7">
        <v>18124.959000000003</v>
      </c>
      <c r="G25" s="7">
        <v>15583.697999999995</v>
      </c>
      <c r="H25" s="7">
        <v>12253.457999999999</v>
      </c>
      <c r="I25" s="7">
        <v>8596.0699999999961</v>
      </c>
      <c r="J25" s="7">
        <v>13219.178000000002</v>
      </c>
      <c r="K25" s="7">
        <v>12936.15</v>
      </c>
      <c r="L25" s="7">
        <v>13743.346</v>
      </c>
      <c r="M25" s="7">
        <v>0</v>
      </c>
      <c r="N25" s="7">
        <v>0</v>
      </c>
      <c r="O25" s="8"/>
    </row>
    <row r="26" spans="2:30" x14ac:dyDescent="0.3">
      <c r="B26" s="3">
        <v>100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8"/>
    </row>
    <row r="27" spans="2:30" x14ac:dyDescent="0.3">
      <c r="B27" s="3">
        <v>120</v>
      </c>
      <c r="C27" s="7">
        <v>15607.075000000001</v>
      </c>
      <c r="D27" s="7">
        <v>18118.654999999995</v>
      </c>
      <c r="E27" s="7">
        <v>22851.830999999995</v>
      </c>
      <c r="F27" s="7">
        <v>23636.066999999995</v>
      </c>
      <c r="G27" s="7">
        <v>20774.345999999998</v>
      </c>
      <c r="H27" s="7">
        <v>18928.870999999999</v>
      </c>
      <c r="I27" s="7">
        <v>21078.407999999999</v>
      </c>
      <c r="J27" s="7">
        <v>19110.320999999993</v>
      </c>
      <c r="K27" s="7">
        <v>19952.995999999996</v>
      </c>
      <c r="L27" s="7">
        <v>24262.190999999999</v>
      </c>
      <c r="M27" s="7">
        <v>0</v>
      </c>
      <c r="N27" s="7">
        <v>0</v>
      </c>
      <c r="O27" s="8"/>
    </row>
    <row r="28" spans="2:30" x14ac:dyDescent="0.3">
      <c r="B28" s="3">
        <v>150</v>
      </c>
      <c r="C28" s="7">
        <v>2926.793000000001</v>
      </c>
      <c r="D28" s="7">
        <v>2928.3729999999996</v>
      </c>
      <c r="E28" s="7">
        <v>5227.8540000000021</v>
      </c>
      <c r="F28" s="7">
        <v>4618.6019999999999</v>
      </c>
      <c r="G28" s="7">
        <v>4713.9359999999997</v>
      </c>
      <c r="H28" s="7">
        <v>3284.0080000000003</v>
      </c>
      <c r="I28" s="7">
        <v>4378.7569999999996</v>
      </c>
      <c r="J28" s="7">
        <v>5408.0160000000005</v>
      </c>
      <c r="K28" s="7">
        <v>4912.9580000000005</v>
      </c>
      <c r="L28" s="7">
        <v>5220.5719999999992</v>
      </c>
      <c r="M28" s="7">
        <v>0</v>
      </c>
      <c r="N28" s="7">
        <v>0</v>
      </c>
      <c r="O28" s="8"/>
    </row>
    <row r="29" spans="2:30" x14ac:dyDescent="0.3">
      <c r="B29" s="3" t="s">
        <v>14</v>
      </c>
      <c r="C29" s="25">
        <v>771374.71899999992</v>
      </c>
      <c r="D29" s="25">
        <v>709972.86800000013</v>
      </c>
      <c r="E29" s="25">
        <v>786452.95800000022</v>
      </c>
      <c r="F29" s="25">
        <v>795436.28100000008</v>
      </c>
      <c r="G29" s="25">
        <v>745303.7</v>
      </c>
      <c r="H29" s="25">
        <v>648734.49100000039</v>
      </c>
      <c r="I29" s="25">
        <v>693121.5560000001</v>
      </c>
      <c r="J29" s="25">
        <v>747503.22400000016</v>
      </c>
      <c r="K29" s="25">
        <v>732969.28</v>
      </c>
      <c r="L29" s="25">
        <v>772228.9110000002</v>
      </c>
      <c r="M29" s="25">
        <v>0</v>
      </c>
      <c r="N29" s="25">
        <v>0</v>
      </c>
      <c r="O29" s="8"/>
    </row>
    <row r="30" spans="2:30" x14ac:dyDescent="0.3">
      <c r="B30" s="10"/>
      <c r="O30" s="11"/>
    </row>
    <row r="31" spans="2:30" ht="15" thickBot="1" x14ac:dyDescent="0.35">
      <c r="B31" s="3">
        <v>2024</v>
      </c>
      <c r="C31" s="13">
        <v>769.76566299999979</v>
      </c>
      <c r="D31" s="13">
        <v>775.32583500000032</v>
      </c>
      <c r="E31" s="13">
        <v>797.82325500000013</v>
      </c>
      <c r="F31" s="13">
        <v>688.32935399999997</v>
      </c>
      <c r="G31" s="13">
        <v>786.24580300000002</v>
      </c>
      <c r="H31" s="13">
        <v>616.51982200000032</v>
      </c>
      <c r="I31" s="13">
        <v>740.55161099999998</v>
      </c>
      <c r="J31" s="13">
        <v>759.72633200000018</v>
      </c>
      <c r="K31" s="13">
        <v>817.45996500000024</v>
      </c>
      <c r="L31" s="13">
        <v>814.83491800000013</v>
      </c>
      <c r="M31" s="13">
        <v>845.15505800000028</v>
      </c>
      <c r="N31" s="13">
        <v>798.90520700000036</v>
      </c>
      <c r="O31" s="14">
        <v>9210.6428230000001</v>
      </c>
    </row>
    <row r="32" spans="2:30" ht="15" thickBot="1" x14ac:dyDescent="0.35">
      <c r="B32" s="12">
        <v>2025</v>
      </c>
      <c r="C32" s="13">
        <v>771.37471899999991</v>
      </c>
      <c r="D32" s="13">
        <v>709.97286800000018</v>
      </c>
      <c r="E32" s="13">
        <v>786.45295800000019</v>
      </c>
      <c r="F32" s="13">
        <v>795.43628100000012</v>
      </c>
      <c r="G32" s="13">
        <v>745.30369999999994</v>
      </c>
      <c r="H32" s="13">
        <v>648.73449100000039</v>
      </c>
      <c r="I32" s="13">
        <v>693.12155600000006</v>
      </c>
      <c r="J32" s="13">
        <v>747.50322400000016</v>
      </c>
      <c r="K32" s="13">
        <v>732.96928000000003</v>
      </c>
      <c r="L32" s="13">
        <v>772.22891100000015</v>
      </c>
      <c r="M32" s="13">
        <v>0</v>
      </c>
      <c r="N32" s="13">
        <v>0</v>
      </c>
      <c r="O32" s="14">
        <v>0</v>
      </c>
    </row>
    <row r="34" spans="2:15" ht="15" thickBot="1" x14ac:dyDescent="0.35">
      <c r="H34" s="29"/>
    </row>
    <row r="35" spans="2:15" x14ac:dyDescent="0.3">
      <c r="B35" s="15" t="s">
        <v>16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</row>
    <row r="36" spans="2:15" x14ac:dyDescent="0.3">
      <c r="B36" s="3" t="s">
        <v>1</v>
      </c>
      <c r="C36" s="4" t="s">
        <v>2</v>
      </c>
      <c r="D36" s="4" t="s">
        <v>3</v>
      </c>
      <c r="E36" s="4" t="s">
        <v>4</v>
      </c>
      <c r="F36" s="4" t="s">
        <v>5</v>
      </c>
      <c r="G36" s="4" t="s">
        <v>6</v>
      </c>
      <c r="H36" s="4" t="s">
        <v>7</v>
      </c>
      <c r="I36" s="4" t="s">
        <v>8</v>
      </c>
      <c r="J36" s="4" t="s">
        <v>9</v>
      </c>
      <c r="K36" s="4" t="s">
        <v>10</v>
      </c>
      <c r="L36" s="4" t="s">
        <v>11</v>
      </c>
      <c r="M36" s="4" t="s">
        <v>12</v>
      </c>
      <c r="N36" s="4" t="s">
        <v>13</v>
      </c>
      <c r="O36" s="5" t="s">
        <v>14</v>
      </c>
    </row>
    <row r="37" spans="2:15" x14ac:dyDescent="0.3">
      <c r="B37" s="3">
        <v>32</v>
      </c>
      <c r="C37" s="7">
        <v>565139.67299999995</v>
      </c>
      <c r="D37" s="7">
        <v>525815.81200000015</v>
      </c>
      <c r="E37" s="7">
        <v>585291.71400000015</v>
      </c>
      <c r="F37" s="7">
        <v>613513.90700000024</v>
      </c>
      <c r="G37" s="7">
        <v>631302.5140000002</v>
      </c>
      <c r="H37" s="7">
        <v>588544.53200000036</v>
      </c>
      <c r="I37" s="7">
        <v>704995.91599999974</v>
      </c>
      <c r="J37" s="7">
        <v>653843.23500000022</v>
      </c>
      <c r="K37" s="7">
        <v>646540.25299999979</v>
      </c>
      <c r="L37" s="7">
        <v>656265.17999999924</v>
      </c>
      <c r="M37" s="7">
        <v>0</v>
      </c>
      <c r="N37" s="7">
        <v>0</v>
      </c>
      <c r="O37" s="8"/>
    </row>
    <row r="38" spans="2:15" x14ac:dyDescent="0.3">
      <c r="B38" s="3">
        <v>40</v>
      </c>
      <c r="C38" s="7">
        <v>105341.8340000001</v>
      </c>
      <c r="D38" s="7">
        <v>110661.16</v>
      </c>
      <c r="E38" s="7">
        <v>109797.2120000001</v>
      </c>
      <c r="F38" s="7">
        <v>102333.75300000003</v>
      </c>
      <c r="G38" s="7">
        <v>110827.32399999996</v>
      </c>
      <c r="H38" s="7">
        <v>84184.894000000058</v>
      </c>
      <c r="I38" s="7">
        <v>102238.826</v>
      </c>
      <c r="J38" s="7">
        <v>120180.53200000004</v>
      </c>
      <c r="K38" s="7">
        <v>148877.27300000004</v>
      </c>
      <c r="L38" s="7">
        <v>138134.75600000002</v>
      </c>
      <c r="M38" s="7">
        <v>0</v>
      </c>
      <c r="N38" s="7">
        <v>0</v>
      </c>
      <c r="O38" s="8"/>
    </row>
    <row r="39" spans="2:15" x14ac:dyDescent="0.3">
      <c r="B39" s="3" t="s">
        <v>14</v>
      </c>
      <c r="C39" s="9">
        <v>670481.5070000001</v>
      </c>
      <c r="D39" s="9">
        <v>636476.97200000018</v>
      </c>
      <c r="E39" s="9">
        <v>695088.92600000021</v>
      </c>
      <c r="F39" s="9">
        <v>715847.66000000027</v>
      </c>
      <c r="G39" s="9">
        <v>742129.83800000022</v>
      </c>
      <c r="H39" s="9">
        <v>672729.42600000044</v>
      </c>
      <c r="I39" s="9">
        <v>807234.74199999974</v>
      </c>
      <c r="J39" s="9">
        <v>774023.76700000023</v>
      </c>
      <c r="K39" s="9">
        <v>795417.52599999984</v>
      </c>
      <c r="L39" s="9">
        <v>794399.93599999929</v>
      </c>
      <c r="M39" s="9">
        <v>0</v>
      </c>
      <c r="N39" s="9">
        <v>0</v>
      </c>
      <c r="O39" s="8"/>
    </row>
    <row r="40" spans="2:15" x14ac:dyDescent="0.3">
      <c r="B40" s="10"/>
      <c r="O40" s="16"/>
    </row>
    <row r="41" spans="2:15" ht="15" thickBot="1" x14ac:dyDescent="0.35">
      <c r="B41" s="3">
        <v>2024</v>
      </c>
      <c r="C41" s="17">
        <v>534.32164400000033</v>
      </c>
      <c r="D41" s="17">
        <v>548.4326279999998</v>
      </c>
      <c r="E41" s="17">
        <v>585.14812000000029</v>
      </c>
      <c r="F41" s="17">
        <v>500.61559999999997</v>
      </c>
      <c r="G41" s="17">
        <v>583.00735000000009</v>
      </c>
      <c r="H41" s="17">
        <v>537.1296480000002</v>
      </c>
      <c r="I41" s="17">
        <v>693.09957400000019</v>
      </c>
      <c r="J41" s="17">
        <v>715.96642799999984</v>
      </c>
      <c r="K41" s="17">
        <v>675.67749199999946</v>
      </c>
      <c r="L41" s="17">
        <v>519.26627400000029</v>
      </c>
      <c r="M41" s="17">
        <v>719.39199799999926</v>
      </c>
      <c r="N41" s="17">
        <v>719.39199799999926</v>
      </c>
      <c r="O41" s="18">
        <v>7331.4487539999991</v>
      </c>
    </row>
    <row r="42" spans="2:15" ht="15" thickBot="1" x14ac:dyDescent="0.35">
      <c r="B42" s="12">
        <v>2025</v>
      </c>
      <c r="C42" s="17">
        <v>670.48150700000008</v>
      </c>
      <c r="D42" s="17">
        <v>636.47697200000016</v>
      </c>
      <c r="E42" s="17">
        <v>695.08892600000024</v>
      </c>
      <c r="F42" s="17">
        <v>715.84766000000025</v>
      </c>
      <c r="G42" s="17">
        <v>742.12983800000018</v>
      </c>
      <c r="H42" s="17">
        <v>672.72942600000044</v>
      </c>
      <c r="I42" s="17">
        <v>807.23474199999976</v>
      </c>
      <c r="J42" s="17">
        <v>774.02376700000025</v>
      </c>
      <c r="K42" s="17">
        <v>795.41752599999984</v>
      </c>
      <c r="L42" s="17">
        <v>794.39993599999934</v>
      </c>
      <c r="M42" s="17">
        <v>0</v>
      </c>
      <c r="N42" s="17">
        <v>0</v>
      </c>
      <c r="O42" s="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BXurramov_</dc:creator>
  <cp:lastModifiedBy>komilerkinov39@gmail.com</cp:lastModifiedBy>
  <dcterms:created xsi:type="dcterms:W3CDTF">2025-02-03T06:09:45Z</dcterms:created>
  <dcterms:modified xsi:type="dcterms:W3CDTF">2026-08-30T20:06:49Z</dcterms:modified>
</cp:coreProperties>
</file>