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September\Sop for September\Пиксели\"/>
    </mc:Choice>
  </mc:AlternateContent>
  <xr:revisionPtr revIDLastSave="0" documentId="13_ncr:1_{C2B1C52B-7489-48A6-8961-29979F9B0581}" xr6:coauthVersionLast="47" xr6:coauthVersionMax="47" xr10:uidLastSave="{00000000-0000-0000-0000-000000000000}"/>
  <bookViews>
    <workbookView xWindow="-108" yWindow="-108" windowWidth="23256" windowHeight="12456" firstSheet="1" activeTab="2" xr2:uid="{4831F913-77DB-45C1-91F4-DBA0E7B820FD}"/>
  </bookViews>
  <sheets>
    <sheet name="Макс." sheetId="4" state="hidden" r:id="rId1"/>
    <sheet name="Раб." sheetId="1" r:id="rId2"/>
    <sheet name="Лист2" sheetId="7" r:id="rId3"/>
    <sheet name="Лист1" sheetId="6" r:id="rId4"/>
    <sheet name="Свод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7" l="1"/>
  <c r="N7" i="7"/>
  <c r="N8" i="7"/>
  <c r="D24" i="7"/>
  <c r="N11" i="7"/>
  <c r="N14" i="7"/>
  <c r="N15" i="7"/>
  <c r="N16" i="7"/>
  <c r="N17" i="7"/>
  <c r="N18" i="7"/>
  <c r="N19" i="7"/>
  <c r="M52" i="7"/>
  <c r="L52" i="7"/>
  <c r="K52" i="7"/>
  <c r="J52" i="7"/>
  <c r="I52" i="7"/>
  <c r="H52" i="7"/>
  <c r="G52" i="7"/>
  <c r="F52" i="7"/>
  <c r="E52" i="7"/>
  <c r="D52" i="7"/>
  <c r="C52" i="7"/>
  <c r="B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M24" i="7"/>
  <c r="L24" i="7"/>
  <c r="K24" i="7"/>
  <c r="J24" i="7"/>
  <c r="I24" i="7"/>
  <c r="H24" i="7"/>
  <c r="G24" i="7"/>
  <c r="F24" i="7"/>
  <c r="B24" i="7"/>
  <c r="N23" i="7"/>
  <c r="N22" i="7"/>
  <c r="N21" i="7"/>
  <c r="N20" i="7"/>
  <c r="N13" i="7"/>
  <c r="N12" i="7"/>
  <c r="N10" i="7"/>
  <c r="N9" i="7"/>
  <c r="A3" i="7"/>
  <c r="N50" i="1"/>
  <c r="N51" i="1"/>
  <c r="N52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C52" i="1"/>
  <c r="D52" i="1"/>
  <c r="E52" i="1"/>
  <c r="F52" i="1"/>
  <c r="G52" i="1"/>
  <c r="H52" i="1"/>
  <c r="I52" i="1"/>
  <c r="J52" i="1"/>
  <c r="K52" i="1"/>
  <c r="L52" i="1"/>
  <c r="M52" i="1"/>
  <c r="B52" i="1"/>
  <c r="K26" i="5"/>
  <c r="J26" i="5"/>
  <c r="J22" i="5"/>
  <c r="L22" i="5"/>
  <c r="J23" i="5"/>
  <c r="L23" i="5"/>
  <c r="J24" i="5"/>
  <c r="L24" i="5" s="1"/>
  <c r="J25" i="5"/>
  <c r="L25" i="5"/>
  <c r="J4" i="5"/>
  <c r="L4" i="5" s="1"/>
  <c r="J5" i="5"/>
  <c r="L5" i="5" s="1"/>
  <c r="J6" i="5"/>
  <c r="L6" i="5" s="1"/>
  <c r="J7" i="5"/>
  <c r="J8" i="5"/>
  <c r="L8" i="5" s="1"/>
  <c r="J9" i="5"/>
  <c r="L9" i="5" s="1"/>
  <c r="J10" i="5"/>
  <c r="J11" i="5"/>
  <c r="J12" i="5"/>
  <c r="J13" i="5"/>
  <c r="J14" i="5"/>
  <c r="L14" i="5" s="1"/>
  <c r="J15" i="5"/>
  <c r="L15" i="5" s="1"/>
  <c r="J16" i="5"/>
  <c r="L16" i="5" s="1"/>
  <c r="J17" i="5"/>
  <c r="L17" i="5" s="1"/>
  <c r="J18" i="5"/>
  <c r="L18" i="5" s="1"/>
  <c r="J19" i="5"/>
  <c r="J20" i="5"/>
  <c r="J21" i="5"/>
  <c r="L21" i="5" s="1"/>
  <c r="L7" i="5"/>
  <c r="L10" i="5"/>
  <c r="J3" i="5"/>
  <c r="L3" i="5" s="1"/>
  <c r="L20" i="5"/>
  <c r="L19" i="5"/>
  <c r="L13" i="5"/>
  <c r="L12" i="5"/>
  <c r="L11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A1" i="4"/>
  <c r="M20" i="4" s="1"/>
  <c r="M24" i="1"/>
  <c r="D24" i="1"/>
  <c r="F24" i="1"/>
  <c r="I24" i="1"/>
  <c r="J24" i="1"/>
  <c r="K24" i="1"/>
  <c r="L24" i="1"/>
  <c r="A3" i="1"/>
  <c r="N52" i="7" l="1"/>
  <c r="E24" i="7"/>
  <c r="C24" i="7"/>
  <c r="N5" i="7"/>
  <c r="L26" i="5"/>
  <c r="E6" i="4"/>
  <c r="I4" i="4"/>
  <c r="N11" i="4"/>
  <c r="F3" i="4"/>
  <c r="C12" i="4"/>
  <c r="C5" i="4"/>
  <c r="H18" i="4"/>
  <c r="J8" i="4"/>
  <c r="N16" i="4"/>
  <c r="H8" i="4"/>
  <c r="D10" i="4"/>
  <c r="J14" i="4"/>
  <c r="K19" i="4"/>
  <c r="M13" i="4"/>
  <c r="K8" i="4"/>
  <c r="L11" i="4"/>
  <c r="C17" i="4"/>
  <c r="N4" i="4"/>
  <c r="G3" i="4"/>
  <c r="E17" i="4"/>
  <c r="D5" i="4"/>
  <c r="F10" i="4"/>
  <c r="E5" i="4"/>
  <c r="G10" i="4"/>
  <c r="D15" i="4"/>
  <c r="F5" i="4"/>
  <c r="M8" i="4"/>
  <c r="K3" i="4"/>
  <c r="N12" i="4"/>
  <c r="D4" i="4"/>
  <c r="F9" i="4"/>
  <c r="I15" i="4"/>
  <c r="N20" i="4"/>
  <c r="J9" i="4"/>
  <c r="N6" i="4"/>
  <c r="F8" i="4"/>
  <c r="J6" i="4"/>
  <c r="F14" i="4"/>
  <c r="I8" i="4"/>
  <c r="D17" i="4"/>
  <c r="E10" i="4"/>
  <c r="H3" i="4"/>
  <c r="K14" i="4"/>
  <c r="L8" i="4"/>
  <c r="J19" i="4"/>
  <c r="H7" i="4"/>
  <c r="M12" i="4"/>
  <c r="G5" i="4"/>
  <c r="J7" i="4"/>
  <c r="N10" i="4"/>
  <c r="H15" i="4"/>
  <c r="K7" i="4"/>
  <c r="H13" i="4"/>
  <c r="E4" i="4"/>
  <c r="L7" i="4"/>
  <c r="G9" i="4"/>
  <c r="D11" i="4"/>
  <c r="J13" i="4"/>
  <c r="F4" i="4"/>
  <c r="C6" i="4"/>
  <c r="M7" i="4"/>
  <c r="H9" i="4"/>
  <c r="E11" i="4"/>
  <c r="K13" i="4"/>
  <c r="F16" i="4"/>
  <c r="H4" i="4"/>
  <c r="D3" i="4"/>
  <c r="K9" i="4"/>
  <c r="L6" i="4"/>
  <c r="I14" i="4"/>
  <c r="M6" i="4"/>
  <c r="D12" i="4"/>
  <c r="J12" i="4"/>
  <c r="I3" i="4"/>
  <c r="C7" i="4"/>
  <c r="L12" i="4"/>
  <c r="J3" i="4"/>
  <c r="H10" i="4"/>
  <c r="G15" i="4"/>
  <c r="D9" i="4"/>
  <c r="L19" i="4"/>
  <c r="L5" i="4"/>
  <c r="C11" i="4"/>
  <c r="N5" i="4"/>
  <c r="E16" i="4"/>
  <c r="G4" i="4"/>
  <c r="D6" i="4"/>
  <c r="N7" i="4"/>
  <c r="I9" i="4"/>
  <c r="F11" i="4"/>
  <c r="L13" i="4"/>
  <c r="G16" i="4"/>
  <c r="B24" i="1"/>
  <c r="H24" i="1"/>
  <c r="G24" i="1"/>
  <c r="E24" i="1"/>
  <c r="C24" i="1"/>
  <c r="N13" i="4"/>
  <c r="L14" i="4"/>
  <c r="J15" i="4"/>
  <c r="H16" i="4"/>
  <c r="F17" i="4"/>
  <c r="I18" i="4"/>
  <c r="M19" i="4"/>
  <c r="J21" i="4"/>
  <c r="I10" i="4"/>
  <c r="G11" i="4"/>
  <c r="O11" i="4" s="1"/>
  <c r="E12" i="4"/>
  <c r="C13" i="4"/>
  <c r="M14" i="4"/>
  <c r="K15" i="4"/>
  <c r="I16" i="4"/>
  <c r="G17" i="4"/>
  <c r="J18" i="4"/>
  <c r="N19" i="4"/>
  <c r="K21" i="4"/>
  <c r="L3" i="4"/>
  <c r="J4" i="4"/>
  <c r="H5" i="4"/>
  <c r="F6" i="4"/>
  <c r="D7" i="4"/>
  <c r="N8" i="4"/>
  <c r="L9" i="4"/>
  <c r="J10" i="4"/>
  <c r="H11" i="4"/>
  <c r="F12" i="4"/>
  <c r="D13" i="4"/>
  <c r="N14" i="4"/>
  <c r="L15" i="4"/>
  <c r="J16" i="4"/>
  <c r="H17" i="4"/>
  <c r="K18" i="4"/>
  <c r="L21" i="4"/>
  <c r="M3" i="4"/>
  <c r="K4" i="4"/>
  <c r="I5" i="4"/>
  <c r="G6" i="4"/>
  <c r="E7" i="4"/>
  <c r="C8" i="4"/>
  <c r="M9" i="4"/>
  <c r="K10" i="4"/>
  <c r="I11" i="4"/>
  <c r="G12" i="4"/>
  <c r="O12" i="4" s="1"/>
  <c r="E13" i="4"/>
  <c r="C14" i="4"/>
  <c r="M15" i="4"/>
  <c r="K16" i="4"/>
  <c r="I17" i="4"/>
  <c r="L18" i="4"/>
  <c r="M21" i="4"/>
  <c r="N3" i="4"/>
  <c r="L4" i="4"/>
  <c r="J5" i="4"/>
  <c r="H6" i="4"/>
  <c r="F7" i="4"/>
  <c r="D8" i="4"/>
  <c r="N9" i="4"/>
  <c r="L10" i="4"/>
  <c r="J11" i="4"/>
  <c r="H12" i="4"/>
  <c r="F13" i="4"/>
  <c r="D14" i="4"/>
  <c r="N15" i="4"/>
  <c r="L16" i="4"/>
  <c r="J17" i="4"/>
  <c r="M18" i="4"/>
  <c r="I20" i="4"/>
  <c r="N21" i="4"/>
  <c r="C3" i="4"/>
  <c r="M4" i="4"/>
  <c r="K5" i="4"/>
  <c r="I6" i="4"/>
  <c r="G7" i="4"/>
  <c r="E8" i="4"/>
  <c r="C9" i="4"/>
  <c r="M10" i="4"/>
  <c r="K11" i="4"/>
  <c r="I12" i="4"/>
  <c r="G13" i="4"/>
  <c r="E14" i="4"/>
  <c r="C15" i="4"/>
  <c r="M16" i="4"/>
  <c r="K17" i="4"/>
  <c r="N18" i="4"/>
  <c r="J20" i="4"/>
  <c r="L17" i="4"/>
  <c r="K20" i="4"/>
  <c r="E3" i="4"/>
  <c r="C4" i="4"/>
  <c r="M5" i="4"/>
  <c r="K6" i="4"/>
  <c r="K22" i="4" s="1"/>
  <c r="I7" i="4"/>
  <c r="G8" i="4"/>
  <c r="E9" i="4"/>
  <c r="C10" i="4"/>
  <c r="M11" i="4"/>
  <c r="K12" i="4"/>
  <c r="I13" i="4"/>
  <c r="G14" i="4"/>
  <c r="E15" i="4"/>
  <c r="C16" i="4"/>
  <c r="M17" i="4"/>
  <c r="L20" i="4"/>
  <c r="H14" i="4"/>
  <c r="F15" i="4"/>
  <c r="D16" i="4"/>
  <c r="N17" i="4"/>
  <c r="I19" i="4"/>
  <c r="N24" i="7" l="1"/>
  <c r="N24" i="1"/>
  <c r="F22" i="4"/>
  <c r="H22" i="4"/>
  <c r="J22" i="4"/>
  <c r="O16" i="4"/>
  <c r="O4" i="4"/>
  <c r="O21" i="4"/>
  <c r="N22" i="4"/>
  <c r="O8" i="4"/>
  <c r="D22" i="4"/>
  <c r="O18" i="4"/>
  <c r="O7" i="4"/>
  <c r="O17" i="4"/>
  <c r="O6" i="4"/>
  <c r="I22" i="4"/>
  <c r="O20" i="4"/>
  <c r="G22" i="4"/>
  <c r="L22" i="4"/>
  <c r="E22" i="4"/>
  <c r="O9" i="4"/>
  <c r="O19" i="4"/>
  <c r="O5" i="4"/>
  <c r="O10" i="4"/>
  <c r="M22" i="4"/>
  <c r="O15" i="4"/>
  <c r="C22" i="4"/>
  <c r="O3" i="4"/>
  <c r="O14" i="4"/>
  <c r="O13" i="4"/>
  <c r="O22" i="4" l="1"/>
</calcChain>
</file>

<file path=xl/sharedStrings.xml><?xml version="1.0" encoding="utf-8"?>
<sst xmlns="http://schemas.openxmlformats.org/spreadsheetml/2006/main" count="236" uniqueCount="47">
  <si>
    <t>Название станка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</si>
  <si>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</si>
  <si>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</si>
  <si>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</si>
  <si>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</si>
  <si>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</si>
  <si>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</si>
  <si>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</si>
  <si>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</si>
  <si>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</si>
  <si>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</si>
  <si>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</si>
  <si>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</si>
  <si>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</si>
  <si>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</si>
  <si>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</si>
  <si>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</si>
  <si>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</si>
  <si>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</si>
  <si>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</si>
  <si>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Мах. Скорость</t>
  </si>
  <si>
    <t>Всего</t>
  </si>
  <si>
    <t>Макс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</si>
  <si>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</si>
  <si>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</si>
  <si>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</si>
  <si>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</si>
  <si>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</si>
  <si>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</si>
  <si>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</si>
  <si>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</si>
  <si>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</si>
  <si>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</si>
  <si>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</si>
  <si>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Янв</t>
  </si>
  <si>
    <t>Раб</t>
  </si>
  <si>
    <t>Произв.</t>
  </si>
  <si>
    <t>Раб.</t>
  </si>
  <si>
    <t>Макс.</t>
  </si>
  <si>
    <t>Факт</t>
  </si>
  <si>
    <t>T20</t>
  </si>
  <si>
    <t>T21</t>
  </si>
  <si>
    <t>T22</t>
  </si>
  <si>
    <t>T23</t>
  </si>
  <si>
    <t>2024 г</t>
  </si>
  <si>
    <t>2025 г</t>
  </si>
  <si>
    <t>По одинаковым колл-во станков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</si>
</sst>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[$-419]mmmm\ yyyy;@"/>
  </numFmts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72 Black"/>
      <family val="2"/>
      <charset val="204"/>
    </font>
    <font>
      <sz val="24"/>
      <color theme="1"/>
      <name val="72 Blac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164" fontId="2" fillId="0" borderId="1" xfId="0" applyNumberFormat="1" applyFont="1" applyBorder="1"/>
    <xf numFmtId="164" fontId="2" fillId="0" borderId="1" xfId="1" applyNumberFormat="1" applyFont="1" applyBorder="1"/>
    <xf numFmtId="165" fontId="2" fillId="0" borderId="1" xfId="2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2" applyNumberFormat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" xfId="1" applyNumberFormat="1" applyFon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7"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F085ABF3-56DA-4032-BF92-EB6C17BEF71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C2A2-6C97-4ACD-859E-9E5C549F851C}">
  <dimension ref="A1:P23"/>
  <sheetViews>
    <sheetView workbookViewId="0">
      <pane xSplit="2" ySplit="2" topLeftCell="F3" activePane="bottomRight" state="frozen"/>
      <selection activeCell="A5" sqref="A5"/>
      <selection pane="topRight" activeCell="A5" sqref="A5"/>
      <selection pane="bottomLeft" activeCell="A5" sqref="A5"/>
      <selection pane="bottomRight" activeCell="O3" sqref="O3"/>
    </sheetView>
  </sheetViews>
  <sheetFormatPr defaultRowHeight="14.4"/>
  <cols>
    <col min="1" max="1" width="14.5546875" bestFit="1" customWidth="1"/>
    <col min="2" max="2" width="12.88671875" bestFit="1" customWidth="1"/>
    <col min="3" max="14" width="12.88671875" customWidth="1"/>
    <col min="15" max="15" width="15.6640625" bestFit="1" customWidth="1"/>
  </cols>
  <sheetData>
    <row r="1" spans="1:15">
      <c r="A1">
        <f>24*60</f>
        <v>1440</v>
      </c>
      <c r="C1">
        <v>30</v>
      </c>
      <c r="D1">
        <v>29</v>
      </c>
      <c r="E1">
        <v>30</v>
      </c>
      <c r="F1">
        <v>30</v>
      </c>
      <c r="G1">
        <v>31</v>
      </c>
      <c r="H1">
        <v>29</v>
      </c>
      <c r="I1">
        <v>31</v>
      </c>
      <c r="J1">
        <v>31</v>
      </c>
      <c r="K1">
        <v>30</v>
      </c>
      <c r="L1">
        <v>31</v>
      </c>
      <c r="M1">
        <v>30</v>
      </c>
      <c r="N1">
        <v>31</v>
      </c>
    </row>
    <row r="2" spans="1:15" ht="28.8">
      <c r="A2" s="4" t="s">
        <v>0</v>
      </c>
      <c r="B2" s="5" t="s">
        <v>20</v>
      </c>
      <c r="C2" s="5" t="s">
        <v>34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22</v>
      </c>
    </row>
    <row r="3" spans="1:15">
      <c r="A3" s="6" t="s">
        <v>1</v>
      </c>
      <c r="B3" s="1">
        <v>200</v>
      </c>
      <c r="C3" s="7">
        <f>$B3*$A$1*C$1</f>
        <v>8640000</v>
      </c>
      <c r="D3" s="7">
        <f t="shared" ref="D3:N19" si="0">$B3*$A$1*D$1</f>
        <v>8352000</v>
      </c>
      <c r="E3" s="7">
        <f t="shared" si="0"/>
        <v>8640000</v>
      </c>
      <c r="F3" s="7">
        <f t="shared" si="0"/>
        <v>8640000</v>
      </c>
      <c r="G3" s="7">
        <f t="shared" si="0"/>
        <v>8928000</v>
      </c>
      <c r="H3" s="7">
        <f t="shared" si="0"/>
        <v>8352000</v>
      </c>
      <c r="I3" s="7">
        <f t="shared" si="0"/>
        <v>8928000</v>
      </c>
      <c r="J3" s="7">
        <f t="shared" si="0"/>
        <v>8928000</v>
      </c>
      <c r="K3" s="7">
        <f t="shared" si="0"/>
        <v>8640000</v>
      </c>
      <c r="L3" s="7">
        <f t="shared" si="0"/>
        <v>8928000</v>
      </c>
      <c r="M3" s="7">
        <f t="shared" si="0"/>
        <v>8640000</v>
      </c>
      <c r="N3" s="7">
        <f t="shared" si="0"/>
        <v>8928000</v>
      </c>
      <c r="O3" s="10">
        <f t="shared" ref="O3:O22" si="1">SUM(C3:N3)</f>
        <v>104544000</v>
      </c>
    </row>
    <row r="4" spans="1:15">
      <c r="A4" s="6" t="s">
        <v>2</v>
      </c>
      <c r="B4" s="1">
        <v>200</v>
      </c>
      <c r="C4" s="7">
        <f t="shared" ref="C4:C17" si="2">$B4*$A$1*C$1</f>
        <v>8640000</v>
      </c>
      <c r="D4" s="7">
        <f t="shared" si="0"/>
        <v>8352000</v>
      </c>
      <c r="E4" s="7">
        <f t="shared" si="0"/>
        <v>8640000</v>
      </c>
      <c r="F4" s="7">
        <f t="shared" si="0"/>
        <v>8640000</v>
      </c>
      <c r="G4" s="7">
        <f t="shared" si="0"/>
        <v>8928000</v>
      </c>
      <c r="H4" s="7">
        <f t="shared" si="0"/>
        <v>8352000</v>
      </c>
      <c r="I4" s="7">
        <f t="shared" si="0"/>
        <v>8928000</v>
      </c>
      <c r="J4" s="7">
        <f t="shared" si="0"/>
        <v>8928000</v>
      </c>
      <c r="K4" s="7">
        <f t="shared" si="0"/>
        <v>8640000</v>
      </c>
      <c r="L4" s="7">
        <f t="shared" si="0"/>
        <v>8928000</v>
      </c>
      <c r="M4" s="7">
        <f t="shared" si="0"/>
        <v>8640000</v>
      </c>
      <c r="N4" s="7">
        <f t="shared" si="0"/>
        <v>8928000</v>
      </c>
      <c r="O4" s="10">
        <f t="shared" si="1"/>
        <v>104544000</v>
      </c>
    </row>
    <row r="5" spans="1:15">
      <c r="A5" s="6" t="s">
        <v>3</v>
      </c>
      <c r="B5" s="1">
        <v>200</v>
      </c>
      <c r="C5" s="7">
        <f t="shared" si="2"/>
        <v>8640000</v>
      </c>
      <c r="D5" s="7">
        <f t="shared" si="0"/>
        <v>8352000</v>
      </c>
      <c r="E5" s="7">
        <f t="shared" si="0"/>
        <v>8640000</v>
      </c>
      <c r="F5" s="7">
        <f t="shared" si="0"/>
        <v>8640000</v>
      </c>
      <c r="G5" s="7">
        <f t="shared" si="0"/>
        <v>8928000</v>
      </c>
      <c r="H5" s="7">
        <f t="shared" si="0"/>
        <v>8352000</v>
      </c>
      <c r="I5" s="7">
        <f t="shared" si="0"/>
        <v>8928000</v>
      </c>
      <c r="J5" s="7">
        <f t="shared" si="0"/>
        <v>8928000</v>
      </c>
      <c r="K5" s="7">
        <f t="shared" si="0"/>
        <v>8640000</v>
      </c>
      <c r="L5" s="7">
        <f t="shared" si="0"/>
        <v>8928000</v>
      </c>
      <c r="M5" s="7">
        <f t="shared" si="0"/>
        <v>8640000</v>
      </c>
      <c r="N5" s="7">
        <f t="shared" si="0"/>
        <v>8928000</v>
      </c>
      <c r="O5" s="10">
        <f t="shared" si="1"/>
        <v>104544000</v>
      </c>
    </row>
    <row r="6" spans="1:15">
      <c r="A6" s="6" t="s">
        <v>4</v>
      </c>
      <c r="B6" s="1">
        <v>200</v>
      </c>
      <c r="C6" s="7">
        <f t="shared" si="2"/>
        <v>8640000</v>
      </c>
      <c r="D6" s="7">
        <f t="shared" si="0"/>
        <v>8352000</v>
      </c>
      <c r="E6" s="7">
        <f t="shared" si="0"/>
        <v>8640000</v>
      </c>
      <c r="F6" s="7">
        <f t="shared" si="0"/>
        <v>8640000</v>
      </c>
      <c r="G6" s="7">
        <f t="shared" si="0"/>
        <v>8928000</v>
      </c>
      <c r="H6" s="7">
        <f t="shared" si="0"/>
        <v>8352000</v>
      </c>
      <c r="I6" s="7">
        <f t="shared" si="0"/>
        <v>8928000</v>
      </c>
      <c r="J6" s="7">
        <f t="shared" si="0"/>
        <v>8928000</v>
      </c>
      <c r="K6" s="7">
        <f t="shared" si="0"/>
        <v>8640000</v>
      </c>
      <c r="L6" s="7">
        <f t="shared" si="0"/>
        <v>8928000</v>
      </c>
      <c r="M6" s="7">
        <f t="shared" si="0"/>
        <v>8640000</v>
      </c>
      <c r="N6" s="7">
        <f t="shared" si="0"/>
        <v>8928000</v>
      </c>
      <c r="O6" s="10">
        <f t="shared" si="1"/>
        <v>104544000</v>
      </c>
    </row>
    <row r="7" spans="1:15">
      <c r="A7" s="6" t="s">
        <v>5</v>
      </c>
      <c r="B7" s="1">
        <v>200</v>
      </c>
      <c r="C7" s="7">
        <f t="shared" si="2"/>
        <v>8640000</v>
      </c>
      <c r="D7" s="7">
        <f t="shared" si="0"/>
        <v>8352000</v>
      </c>
      <c r="E7" s="7">
        <f t="shared" si="0"/>
        <v>8640000</v>
      </c>
      <c r="F7" s="7">
        <f t="shared" si="0"/>
        <v>8640000</v>
      </c>
      <c r="G7" s="7">
        <f t="shared" si="0"/>
        <v>8928000</v>
      </c>
      <c r="H7" s="7">
        <f t="shared" si="0"/>
        <v>8352000</v>
      </c>
      <c r="I7" s="7">
        <f t="shared" si="0"/>
        <v>8928000</v>
      </c>
      <c r="J7" s="7">
        <f t="shared" si="0"/>
        <v>8928000</v>
      </c>
      <c r="K7" s="7">
        <f t="shared" si="0"/>
        <v>8640000</v>
      </c>
      <c r="L7" s="7">
        <f t="shared" si="0"/>
        <v>8928000</v>
      </c>
      <c r="M7" s="7">
        <f t="shared" si="0"/>
        <v>8640000</v>
      </c>
      <c r="N7" s="7">
        <f t="shared" si="0"/>
        <v>8928000</v>
      </c>
      <c r="O7" s="10">
        <f t="shared" si="1"/>
        <v>104544000</v>
      </c>
    </row>
    <row r="8" spans="1:15">
      <c r="A8" s="6" t="s">
        <v>6</v>
      </c>
      <c r="B8" s="1">
        <v>200</v>
      </c>
      <c r="C8" s="7">
        <f t="shared" si="2"/>
        <v>8640000</v>
      </c>
      <c r="D8" s="7">
        <f t="shared" si="0"/>
        <v>8352000</v>
      </c>
      <c r="E8" s="7">
        <f t="shared" si="0"/>
        <v>8640000</v>
      </c>
      <c r="F8" s="7">
        <f t="shared" si="0"/>
        <v>8640000</v>
      </c>
      <c r="G8" s="7">
        <f t="shared" si="0"/>
        <v>8928000</v>
      </c>
      <c r="H8" s="7">
        <f t="shared" si="0"/>
        <v>8352000</v>
      </c>
      <c r="I8" s="7">
        <f t="shared" si="0"/>
        <v>8928000</v>
      </c>
      <c r="J8" s="7">
        <f t="shared" si="0"/>
        <v>8928000</v>
      </c>
      <c r="K8" s="7">
        <f t="shared" si="0"/>
        <v>8640000</v>
      </c>
      <c r="L8" s="7">
        <f t="shared" si="0"/>
        <v>8928000</v>
      </c>
      <c r="M8" s="7">
        <f t="shared" si="0"/>
        <v>8640000</v>
      </c>
      <c r="N8" s="7">
        <f t="shared" si="0"/>
        <v>8928000</v>
      </c>
      <c r="O8" s="10">
        <f t="shared" si="1"/>
        <v>104544000</v>
      </c>
    </row>
    <row r="9" spans="1:15">
      <c r="A9" s="6" t="s">
        <v>7</v>
      </c>
      <c r="B9" s="1">
        <v>200</v>
      </c>
      <c r="C9" s="7">
        <f t="shared" si="2"/>
        <v>8640000</v>
      </c>
      <c r="D9" s="7">
        <f t="shared" si="0"/>
        <v>8352000</v>
      </c>
      <c r="E9" s="7">
        <f t="shared" si="0"/>
        <v>8640000</v>
      </c>
      <c r="F9" s="7">
        <f t="shared" si="0"/>
        <v>8640000</v>
      </c>
      <c r="G9" s="7">
        <f t="shared" si="0"/>
        <v>8928000</v>
      </c>
      <c r="H9" s="7">
        <f t="shared" si="0"/>
        <v>8352000</v>
      </c>
      <c r="I9" s="7">
        <f t="shared" si="0"/>
        <v>8928000</v>
      </c>
      <c r="J9" s="7">
        <f t="shared" si="0"/>
        <v>8928000</v>
      </c>
      <c r="K9" s="7">
        <f t="shared" si="0"/>
        <v>8640000</v>
      </c>
      <c r="L9" s="7">
        <f t="shared" si="0"/>
        <v>8928000</v>
      </c>
      <c r="M9" s="7">
        <f t="shared" si="0"/>
        <v>8640000</v>
      </c>
      <c r="N9" s="7">
        <f t="shared" si="0"/>
        <v>8928000</v>
      </c>
      <c r="O9" s="10">
        <f t="shared" si="1"/>
        <v>104544000</v>
      </c>
    </row>
    <row r="10" spans="1:15">
      <c r="A10" s="6" t="s">
        <v>8</v>
      </c>
      <c r="B10" s="1">
        <v>200</v>
      </c>
      <c r="C10" s="7">
        <f t="shared" si="2"/>
        <v>8640000</v>
      </c>
      <c r="D10" s="7">
        <f t="shared" si="0"/>
        <v>8352000</v>
      </c>
      <c r="E10" s="7">
        <f t="shared" si="0"/>
        <v>8640000</v>
      </c>
      <c r="F10" s="7">
        <f t="shared" si="0"/>
        <v>8640000</v>
      </c>
      <c r="G10" s="7">
        <f t="shared" si="0"/>
        <v>8928000</v>
      </c>
      <c r="H10" s="7">
        <f t="shared" si="0"/>
        <v>8352000</v>
      </c>
      <c r="I10" s="7">
        <f t="shared" si="0"/>
        <v>8928000</v>
      </c>
      <c r="J10" s="7">
        <f t="shared" si="0"/>
        <v>8928000</v>
      </c>
      <c r="K10" s="7">
        <f t="shared" si="0"/>
        <v>8640000</v>
      </c>
      <c r="L10" s="7">
        <f t="shared" si="0"/>
        <v>8928000</v>
      </c>
      <c r="M10" s="7">
        <f t="shared" si="0"/>
        <v>8640000</v>
      </c>
      <c r="N10" s="7">
        <f t="shared" si="0"/>
        <v>8928000</v>
      </c>
      <c r="O10" s="10">
        <f t="shared" si="1"/>
        <v>104544000</v>
      </c>
    </row>
    <row r="11" spans="1:15">
      <c r="A11" s="6" t="s">
        <v>9</v>
      </c>
      <c r="B11" s="1">
        <v>160</v>
      </c>
      <c r="C11" s="7">
        <f t="shared" si="2"/>
        <v>6912000</v>
      </c>
      <c r="D11" s="7">
        <f t="shared" si="0"/>
        <v>6681600</v>
      </c>
      <c r="E11" s="7">
        <f t="shared" si="0"/>
        <v>6912000</v>
      </c>
      <c r="F11" s="7">
        <f t="shared" si="0"/>
        <v>6912000</v>
      </c>
      <c r="G11" s="7">
        <f t="shared" si="0"/>
        <v>7142400</v>
      </c>
      <c r="H11" s="7">
        <f t="shared" si="0"/>
        <v>6681600</v>
      </c>
      <c r="I11" s="7">
        <f t="shared" si="0"/>
        <v>7142400</v>
      </c>
      <c r="J11" s="7">
        <f t="shared" si="0"/>
        <v>7142400</v>
      </c>
      <c r="K11" s="7">
        <f t="shared" si="0"/>
        <v>6912000</v>
      </c>
      <c r="L11" s="7">
        <f t="shared" si="0"/>
        <v>7142400</v>
      </c>
      <c r="M11" s="7">
        <f t="shared" si="0"/>
        <v>6912000</v>
      </c>
      <c r="N11" s="7">
        <f t="shared" si="0"/>
        <v>7142400</v>
      </c>
      <c r="O11" s="10">
        <f t="shared" si="1"/>
        <v>83635200</v>
      </c>
    </row>
    <row r="12" spans="1:15">
      <c r="A12" s="6" t="s">
        <v>10</v>
      </c>
      <c r="B12" s="1">
        <v>220</v>
      </c>
      <c r="C12" s="7">
        <f t="shared" si="2"/>
        <v>9504000</v>
      </c>
      <c r="D12" s="7">
        <f t="shared" si="0"/>
        <v>9187200</v>
      </c>
      <c r="E12" s="7">
        <f t="shared" si="0"/>
        <v>9504000</v>
      </c>
      <c r="F12" s="7">
        <f t="shared" si="0"/>
        <v>9504000</v>
      </c>
      <c r="G12" s="7">
        <f t="shared" si="0"/>
        <v>9820800</v>
      </c>
      <c r="H12" s="7">
        <f t="shared" si="0"/>
        <v>9187200</v>
      </c>
      <c r="I12" s="7">
        <f t="shared" si="0"/>
        <v>9820800</v>
      </c>
      <c r="J12" s="7">
        <f t="shared" si="0"/>
        <v>9820800</v>
      </c>
      <c r="K12" s="7">
        <f t="shared" si="0"/>
        <v>9504000</v>
      </c>
      <c r="L12" s="7">
        <f t="shared" si="0"/>
        <v>9820800</v>
      </c>
      <c r="M12" s="7">
        <f t="shared" si="0"/>
        <v>9504000</v>
      </c>
      <c r="N12" s="7">
        <f t="shared" si="0"/>
        <v>9820800</v>
      </c>
      <c r="O12" s="10">
        <f t="shared" si="1"/>
        <v>114998400</v>
      </c>
    </row>
    <row r="13" spans="1:15">
      <c r="A13" s="6" t="s">
        <v>11</v>
      </c>
      <c r="B13" s="1">
        <v>150</v>
      </c>
      <c r="C13" s="7">
        <f t="shared" si="2"/>
        <v>6480000</v>
      </c>
      <c r="D13" s="7">
        <f t="shared" si="0"/>
        <v>6264000</v>
      </c>
      <c r="E13" s="7">
        <f t="shared" si="0"/>
        <v>6480000</v>
      </c>
      <c r="F13" s="7">
        <f t="shared" si="0"/>
        <v>6480000</v>
      </c>
      <c r="G13" s="7">
        <f t="shared" si="0"/>
        <v>6696000</v>
      </c>
      <c r="H13" s="7">
        <f t="shared" si="0"/>
        <v>6264000</v>
      </c>
      <c r="I13" s="7">
        <f t="shared" si="0"/>
        <v>6696000</v>
      </c>
      <c r="J13" s="7">
        <f t="shared" si="0"/>
        <v>6696000</v>
      </c>
      <c r="K13" s="7">
        <f t="shared" si="0"/>
        <v>6480000</v>
      </c>
      <c r="L13" s="7">
        <f t="shared" si="0"/>
        <v>6696000</v>
      </c>
      <c r="M13" s="7">
        <f t="shared" si="0"/>
        <v>6480000</v>
      </c>
      <c r="N13" s="7">
        <f t="shared" si="0"/>
        <v>6696000</v>
      </c>
      <c r="O13" s="10">
        <f t="shared" si="1"/>
        <v>78408000</v>
      </c>
    </row>
    <row r="14" spans="1:15">
      <c r="A14" s="6" t="s">
        <v>12</v>
      </c>
      <c r="B14" s="1">
        <v>160</v>
      </c>
      <c r="C14" s="7">
        <f t="shared" si="2"/>
        <v>6912000</v>
      </c>
      <c r="D14" s="7">
        <f t="shared" si="0"/>
        <v>6681600</v>
      </c>
      <c r="E14" s="7">
        <f t="shared" si="0"/>
        <v>6912000</v>
      </c>
      <c r="F14" s="7">
        <f t="shared" si="0"/>
        <v>6912000</v>
      </c>
      <c r="G14" s="7">
        <f t="shared" si="0"/>
        <v>7142400</v>
      </c>
      <c r="H14" s="7">
        <f t="shared" si="0"/>
        <v>6681600</v>
      </c>
      <c r="I14" s="7">
        <f t="shared" si="0"/>
        <v>7142400</v>
      </c>
      <c r="J14" s="7">
        <f t="shared" si="0"/>
        <v>7142400</v>
      </c>
      <c r="K14" s="7">
        <f t="shared" si="0"/>
        <v>6912000</v>
      </c>
      <c r="L14" s="7">
        <f t="shared" si="0"/>
        <v>7142400</v>
      </c>
      <c r="M14" s="7">
        <f t="shared" si="0"/>
        <v>6912000</v>
      </c>
      <c r="N14" s="7">
        <f t="shared" si="0"/>
        <v>7142400</v>
      </c>
      <c r="O14" s="10">
        <f t="shared" si="1"/>
        <v>83635200</v>
      </c>
    </row>
    <row r="15" spans="1:15">
      <c r="A15" s="6" t="s">
        <v>13</v>
      </c>
      <c r="B15" s="1">
        <v>180</v>
      </c>
      <c r="C15" s="7">
        <f t="shared" si="2"/>
        <v>7776000</v>
      </c>
      <c r="D15" s="7">
        <f t="shared" si="0"/>
        <v>7516800</v>
      </c>
      <c r="E15" s="7">
        <f t="shared" si="0"/>
        <v>7776000</v>
      </c>
      <c r="F15" s="7">
        <f t="shared" si="0"/>
        <v>7776000</v>
      </c>
      <c r="G15" s="7">
        <f t="shared" si="0"/>
        <v>8035200</v>
      </c>
      <c r="H15" s="7">
        <f t="shared" si="0"/>
        <v>7516800</v>
      </c>
      <c r="I15" s="7">
        <f t="shared" si="0"/>
        <v>8035200</v>
      </c>
      <c r="J15" s="7">
        <f t="shared" si="0"/>
        <v>8035200</v>
      </c>
      <c r="K15" s="7">
        <f t="shared" si="0"/>
        <v>7776000</v>
      </c>
      <c r="L15" s="7">
        <f t="shared" si="0"/>
        <v>8035200</v>
      </c>
      <c r="M15" s="7">
        <f t="shared" si="0"/>
        <v>7776000</v>
      </c>
      <c r="N15" s="7">
        <f t="shared" si="0"/>
        <v>8035200</v>
      </c>
      <c r="O15" s="10">
        <f t="shared" si="1"/>
        <v>94089600</v>
      </c>
    </row>
    <row r="16" spans="1:15">
      <c r="A16" s="6" t="s">
        <v>14</v>
      </c>
      <c r="B16" s="1">
        <v>162</v>
      </c>
      <c r="C16" s="7">
        <f t="shared" si="2"/>
        <v>6998400</v>
      </c>
      <c r="D16" s="7">
        <f t="shared" si="0"/>
        <v>6765120</v>
      </c>
      <c r="E16" s="7">
        <f t="shared" si="0"/>
        <v>6998400</v>
      </c>
      <c r="F16" s="7">
        <f t="shared" si="0"/>
        <v>6998400</v>
      </c>
      <c r="G16" s="7">
        <f t="shared" si="0"/>
        <v>7231680</v>
      </c>
      <c r="H16" s="7">
        <f t="shared" si="0"/>
        <v>6765120</v>
      </c>
      <c r="I16" s="7">
        <f t="shared" si="0"/>
        <v>7231680</v>
      </c>
      <c r="J16" s="7">
        <f t="shared" si="0"/>
        <v>7231680</v>
      </c>
      <c r="K16" s="7">
        <f t="shared" si="0"/>
        <v>6998400</v>
      </c>
      <c r="L16" s="7">
        <f t="shared" si="0"/>
        <v>7231680</v>
      </c>
      <c r="M16" s="7">
        <f t="shared" si="0"/>
        <v>6998400</v>
      </c>
      <c r="N16" s="7">
        <f t="shared" si="0"/>
        <v>7231680</v>
      </c>
      <c r="O16" s="10">
        <f t="shared" si="1"/>
        <v>84680640</v>
      </c>
    </row>
    <row r="17" spans="1:16">
      <c r="A17" s="6" t="s">
        <v>15</v>
      </c>
      <c r="B17" s="1">
        <v>160</v>
      </c>
      <c r="C17" s="7">
        <f t="shared" si="2"/>
        <v>6912000</v>
      </c>
      <c r="D17" s="7">
        <f t="shared" si="0"/>
        <v>6681600</v>
      </c>
      <c r="E17" s="7">
        <f t="shared" si="0"/>
        <v>6912000</v>
      </c>
      <c r="F17" s="7">
        <f t="shared" si="0"/>
        <v>6912000</v>
      </c>
      <c r="G17" s="7">
        <f t="shared" si="0"/>
        <v>7142400</v>
      </c>
      <c r="H17" s="7">
        <f t="shared" si="0"/>
        <v>6681600</v>
      </c>
      <c r="I17" s="7">
        <f t="shared" si="0"/>
        <v>7142400</v>
      </c>
      <c r="J17" s="7">
        <f t="shared" si="0"/>
        <v>7142400</v>
      </c>
      <c r="K17" s="7">
        <f t="shared" si="0"/>
        <v>6912000</v>
      </c>
      <c r="L17" s="7">
        <f t="shared" si="0"/>
        <v>7142400</v>
      </c>
      <c r="M17" s="7">
        <f t="shared" si="0"/>
        <v>6912000</v>
      </c>
      <c r="N17" s="7">
        <f t="shared" si="0"/>
        <v>7142400</v>
      </c>
      <c r="O17" s="10">
        <f t="shared" si="1"/>
        <v>83635200</v>
      </c>
    </row>
    <row r="18" spans="1:16">
      <c r="A18" s="6" t="s">
        <v>16</v>
      </c>
      <c r="B18" s="1">
        <v>179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f t="shared" si="0"/>
        <v>7475040</v>
      </c>
      <c r="I18" s="7">
        <f t="shared" si="0"/>
        <v>7990560</v>
      </c>
      <c r="J18" s="7">
        <f t="shared" si="0"/>
        <v>7990560</v>
      </c>
      <c r="K18" s="7">
        <f t="shared" si="0"/>
        <v>7732800</v>
      </c>
      <c r="L18" s="7">
        <f t="shared" si="0"/>
        <v>7990560</v>
      </c>
      <c r="M18" s="7">
        <f t="shared" si="0"/>
        <v>7732800</v>
      </c>
      <c r="N18" s="7">
        <f t="shared" si="0"/>
        <v>7990560</v>
      </c>
      <c r="O18" s="10">
        <f t="shared" si="1"/>
        <v>54902880</v>
      </c>
      <c r="P18" s="3"/>
    </row>
    <row r="19" spans="1:16">
      <c r="A19" s="6" t="s">
        <v>17</v>
      </c>
      <c r="B19" s="1">
        <v>180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f t="shared" si="0"/>
        <v>8035200</v>
      </c>
      <c r="J19" s="7">
        <f t="shared" si="0"/>
        <v>8035200</v>
      </c>
      <c r="K19" s="7">
        <f t="shared" si="0"/>
        <v>7776000</v>
      </c>
      <c r="L19" s="7">
        <f t="shared" si="0"/>
        <v>8035200</v>
      </c>
      <c r="M19" s="7">
        <f t="shared" si="0"/>
        <v>7776000</v>
      </c>
      <c r="N19" s="7">
        <f t="shared" si="0"/>
        <v>8035200</v>
      </c>
      <c r="O19" s="10">
        <f t="shared" si="1"/>
        <v>47692800</v>
      </c>
      <c r="P19" s="3"/>
    </row>
    <row r="20" spans="1:16">
      <c r="A20" s="6" t="s">
        <v>18</v>
      </c>
      <c r="B20" s="1">
        <v>180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f t="shared" ref="I20:N21" si="3">$B20*$A$1*I$1</f>
        <v>8035200</v>
      </c>
      <c r="J20" s="7">
        <f t="shared" si="3"/>
        <v>8035200</v>
      </c>
      <c r="K20" s="7">
        <f t="shared" si="3"/>
        <v>7776000</v>
      </c>
      <c r="L20" s="7">
        <f t="shared" si="3"/>
        <v>8035200</v>
      </c>
      <c r="M20" s="7">
        <f t="shared" si="3"/>
        <v>7776000</v>
      </c>
      <c r="N20" s="7">
        <f t="shared" si="3"/>
        <v>8035200</v>
      </c>
      <c r="O20" s="10">
        <f t="shared" si="1"/>
        <v>47692800</v>
      </c>
      <c r="P20" s="3"/>
    </row>
    <row r="21" spans="1:16">
      <c r="A21" s="6" t="s">
        <v>19</v>
      </c>
      <c r="B21" s="1">
        <v>180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f t="shared" si="3"/>
        <v>8035200</v>
      </c>
      <c r="K21" s="7">
        <f t="shared" si="3"/>
        <v>7776000</v>
      </c>
      <c r="L21" s="7">
        <f t="shared" si="3"/>
        <v>8035200</v>
      </c>
      <c r="M21" s="7">
        <f t="shared" si="3"/>
        <v>7776000</v>
      </c>
      <c r="N21" s="7">
        <f t="shared" si="3"/>
        <v>8035200</v>
      </c>
      <c r="O21" s="10">
        <f t="shared" si="1"/>
        <v>39657600</v>
      </c>
      <c r="P21" s="3"/>
    </row>
    <row r="22" spans="1:16">
      <c r="A22" s="6" t="s">
        <v>21</v>
      </c>
      <c r="B22" s="1"/>
      <c r="C22" s="7">
        <f>SUM(C3:C21)</f>
        <v>120614400</v>
      </c>
      <c r="D22" s="7">
        <f t="shared" ref="D22:N22" si="4">SUM(D3:D21)</f>
        <v>116593920</v>
      </c>
      <c r="E22" s="7">
        <f t="shared" si="4"/>
        <v>120614400</v>
      </c>
      <c r="F22" s="7">
        <f t="shared" si="4"/>
        <v>120614400</v>
      </c>
      <c r="G22" s="7">
        <f t="shared" si="4"/>
        <v>124634880</v>
      </c>
      <c r="H22" s="7">
        <f t="shared" si="4"/>
        <v>124068960</v>
      </c>
      <c r="I22" s="7">
        <f t="shared" si="4"/>
        <v>148695840</v>
      </c>
      <c r="J22" s="7">
        <f t="shared" si="4"/>
        <v>156731040</v>
      </c>
      <c r="K22" s="7">
        <f t="shared" si="4"/>
        <v>151675200</v>
      </c>
      <c r="L22" s="7">
        <f t="shared" si="4"/>
        <v>156731040</v>
      </c>
      <c r="M22" s="7">
        <f t="shared" si="4"/>
        <v>151675200</v>
      </c>
      <c r="N22" s="7">
        <f t="shared" si="4"/>
        <v>156731040</v>
      </c>
      <c r="O22" s="10">
        <f t="shared" si="1"/>
        <v>1649380320</v>
      </c>
    </row>
    <row r="23" spans="1:16">
      <c r="O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AEDC-4FC2-4C90-91C2-A6DC0BB37230}">
  <dimension ref="A1:P52"/>
  <sheetViews>
    <sheetView workbookViewId="0">
      <pane xSplit="1" ySplit="4" topLeftCell="B23" activePane="bottomRight" state="frozen"/>
      <selection activeCell="A5" sqref="A5"/>
      <selection pane="topRight" activeCell="A5" sqref="A5"/>
      <selection pane="bottomLeft" activeCell="A5" sqref="A5"/>
      <selection pane="bottomRight" activeCell="C29" sqref="C29"/>
    </sheetView>
  </sheetViews>
  <sheetFormatPr defaultRowHeight="14.4"/>
  <cols>
    <col min="1" max="1" width="14.5546875" bestFit="1" customWidth="1"/>
    <col min="2" max="13" width="12.88671875" customWidth="1"/>
    <col min="14" max="14" width="12.33203125" bestFit="1" customWidth="1"/>
    <col min="15" max="15" width="10" bestFit="1" customWidth="1"/>
  </cols>
  <sheetData>
    <row r="1" spans="1:16">
      <c r="A1" s="24" t="s">
        <v>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6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6">
      <c r="A3">
        <f>24*60</f>
        <v>1440</v>
      </c>
      <c r="B3">
        <v>30</v>
      </c>
      <c r="C3">
        <v>29</v>
      </c>
      <c r="D3">
        <v>30</v>
      </c>
      <c r="E3">
        <v>30</v>
      </c>
      <c r="F3">
        <v>31</v>
      </c>
      <c r="G3">
        <v>29</v>
      </c>
      <c r="H3">
        <v>31</v>
      </c>
      <c r="I3">
        <v>31</v>
      </c>
      <c r="J3">
        <v>30</v>
      </c>
      <c r="K3">
        <v>31</v>
      </c>
      <c r="L3">
        <v>30</v>
      </c>
      <c r="M3">
        <v>31</v>
      </c>
    </row>
    <row r="4" spans="1:16">
      <c r="A4" s="4" t="s">
        <v>0</v>
      </c>
      <c r="B4" s="5" t="s">
        <v>34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35</v>
      </c>
    </row>
    <row r="5" spans="1:16">
      <c r="A5" s="6" t="s">
        <v>1</v>
      </c>
      <c r="B5" s="7">
        <v>2679896</v>
      </c>
      <c r="C5" s="7">
        <v>2762820</v>
      </c>
      <c r="D5" s="7">
        <v>2896438</v>
      </c>
      <c r="E5" s="7">
        <v>2418445</v>
      </c>
      <c r="F5" s="7">
        <v>2742456</v>
      </c>
      <c r="G5" s="7">
        <v>2465713</v>
      </c>
      <c r="H5" s="7">
        <v>2244191</v>
      </c>
      <c r="I5" s="7">
        <v>2470593</v>
      </c>
      <c r="J5" s="7">
        <v>2777842</v>
      </c>
      <c r="K5" s="7">
        <v>2786941</v>
      </c>
      <c r="L5" s="7">
        <v>1712866</v>
      </c>
      <c r="M5" s="7">
        <v>2301813</v>
      </c>
      <c r="N5" s="9">
        <f>SUM(B5:M5)</f>
        <v>30260014</v>
      </c>
      <c r="P5" s="21"/>
    </row>
    <row r="6" spans="1:16">
      <c r="A6" s="6" t="s">
        <v>2</v>
      </c>
      <c r="B6" s="7">
        <v>3107443</v>
      </c>
      <c r="C6" s="7">
        <v>3071662</v>
      </c>
      <c r="D6" s="7">
        <v>3429978</v>
      </c>
      <c r="E6" s="7">
        <v>960664</v>
      </c>
      <c r="F6" s="7">
        <v>3136506</v>
      </c>
      <c r="G6" s="7">
        <v>2654344</v>
      </c>
      <c r="H6" s="7">
        <v>2827936</v>
      </c>
      <c r="I6" s="7">
        <v>3214197</v>
      </c>
      <c r="J6" s="7">
        <v>2950168</v>
      </c>
      <c r="K6" s="7">
        <v>2081406</v>
      </c>
      <c r="L6" s="7">
        <v>2813662</v>
      </c>
      <c r="M6" s="7">
        <v>2957845</v>
      </c>
      <c r="N6" s="9">
        <f t="shared" ref="N6:N24" si="0">SUM(B6:M6)</f>
        <v>33205811</v>
      </c>
      <c r="P6" s="21"/>
    </row>
    <row r="7" spans="1:16">
      <c r="A7" s="6" t="s">
        <v>3</v>
      </c>
      <c r="B7" s="7">
        <v>2802295</v>
      </c>
      <c r="C7" s="7">
        <v>3312193</v>
      </c>
      <c r="D7" s="7">
        <v>3425960</v>
      </c>
      <c r="E7" s="7">
        <v>3128938</v>
      </c>
      <c r="F7" s="7">
        <v>2972352</v>
      </c>
      <c r="G7" s="7">
        <v>2707670</v>
      </c>
      <c r="H7" s="7">
        <v>3211015</v>
      </c>
      <c r="I7" s="7">
        <v>3087540</v>
      </c>
      <c r="J7" s="7">
        <v>3454924</v>
      </c>
      <c r="K7" s="7">
        <v>3209573</v>
      </c>
      <c r="L7" s="7">
        <v>3519706</v>
      </c>
      <c r="M7" s="7">
        <v>3581628</v>
      </c>
      <c r="N7" s="9">
        <f t="shared" si="0"/>
        <v>38413794</v>
      </c>
      <c r="P7" s="21"/>
    </row>
    <row r="8" spans="1:16">
      <c r="A8" s="6" t="s">
        <v>4</v>
      </c>
      <c r="B8" s="7">
        <v>3496135</v>
      </c>
      <c r="C8" s="7">
        <v>3353409</v>
      </c>
      <c r="D8" s="7">
        <v>3460143</v>
      </c>
      <c r="E8" s="7">
        <v>1113698</v>
      </c>
      <c r="F8" s="7">
        <v>3437634</v>
      </c>
      <c r="G8" s="7">
        <v>2856185</v>
      </c>
      <c r="H8" s="7">
        <v>3086589</v>
      </c>
      <c r="I8" s="7">
        <v>3115229</v>
      </c>
      <c r="J8" s="7">
        <v>3591959</v>
      </c>
      <c r="K8" s="7">
        <v>2618077</v>
      </c>
      <c r="L8" s="7">
        <v>2898232</v>
      </c>
      <c r="M8" s="7">
        <v>3468395</v>
      </c>
      <c r="N8" s="9">
        <f t="shared" si="0"/>
        <v>36495685</v>
      </c>
      <c r="P8" s="21"/>
    </row>
    <row r="9" spans="1:16">
      <c r="A9" s="6" t="s">
        <v>5</v>
      </c>
      <c r="B9" s="7">
        <v>3456007</v>
      </c>
      <c r="C9" s="7">
        <v>3210955</v>
      </c>
      <c r="D9" s="7">
        <v>3360587</v>
      </c>
      <c r="E9" s="7">
        <v>1116617</v>
      </c>
      <c r="F9" s="7">
        <v>3624543</v>
      </c>
      <c r="G9" s="7">
        <v>3010165</v>
      </c>
      <c r="H9" s="7">
        <v>3311086</v>
      </c>
      <c r="I9" s="7">
        <v>3639797</v>
      </c>
      <c r="J9" s="7">
        <v>3441806</v>
      </c>
      <c r="K9" s="7">
        <v>2576113</v>
      </c>
      <c r="L9" s="7">
        <v>3083021</v>
      </c>
      <c r="M9" s="7">
        <v>3276392</v>
      </c>
      <c r="N9" s="9">
        <f t="shared" si="0"/>
        <v>37107089</v>
      </c>
      <c r="P9" s="21"/>
    </row>
    <row r="10" spans="1:16">
      <c r="A10" s="6" t="s">
        <v>6</v>
      </c>
      <c r="B10" s="7">
        <v>2677177</v>
      </c>
      <c r="C10" s="7">
        <v>2530336</v>
      </c>
      <c r="D10" s="7">
        <v>2875134</v>
      </c>
      <c r="E10" s="7">
        <v>2539429</v>
      </c>
      <c r="F10" s="7">
        <v>2656141</v>
      </c>
      <c r="G10" s="7">
        <v>2548479</v>
      </c>
      <c r="H10" s="7">
        <v>2763163</v>
      </c>
      <c r="I10" s="7">
        <v>2931910</v>
      </c>
      <c r="J10" s="7">
        <v>2678887</v>
      </c>
      <c r="K10" s="7">
        <v>3177470</v>
      </c>
      <c r="L10" s="7">
        <v>3003814</v>
      </c>
      <c r="M10" s="7">
        <v>2701837</v>
      </c>
      <c r="N10" s="9">
        <f t="shared" si="0"/>
        <v>33083777</v>
      </c>
      <c r="P10" s="21"/>
    </row>
    <row r="11" spans="1:16">
      <c r="A11" s="6" t="s">
        <v>7</v>
      </c>
      <c r="B11" s="7">
        <v>2477674</v>
      </c>
      <c r="C11" s="7">
        <v>2414975</v>
      </c>
      <c r="D11" s="7">
        <v>2758591</v>
      </c>
      <c r="E11" s="7">
        <v>897987</v>
      </c>
      <c r="F11" s="7">
        <v>2933985</v>
      </c>
      <c r="G11" s="7">
        <v>2432620</v>
      </c>
      <c r="H11" s="7">
        <v>2346721</v>
      </c>
      <c r="I11" s="7">
        <v>2653109</v>
      </c>
      <c r="J11" s="7">
        <v>2845247</v>
      </c>
      <c r="K11" s="7">
        <v>1643594</v>
      </c>
      <c r="L11" s="7">
        <v>2347719</v>
      </c>
      <c r="M11" s="7">
        <v>2553840</v>
      </c>
      <c r="N11" s="9">
        <f t="shared" si="0"/>
        <v>28306062</v>
      </c>
      <c r="P11" s="21"/>
    </row>
    <row r="12" spans="1:16">
      <c r="A12" s="6" t="s">
        <v>8</v>
      </c>
      <c r="B12" s="7">
        <v>3804330</v>
      </c>
      <c r="C12" s="7">
        <v>3668319</v>
      </c>
      <c r="D12" s="7">
        <v>4169892</v>
      </c>
      <c r="E12" s="7">
        <v>3410565</v>
      </c>
      <c r="F12" s="7">
        <v>3669507</v>
      </c>
      <c r="G12" s="7">
        <v>3305501</v>
      </c>
      <c r="H12" s="7">
        <v>3565969</v>
      </c>
      <c r="I12" s="7">
        <v>3406441</v>
      </c>
      <c r="J12" s="7">
        <v>3278491</v>
      </c>
      <c r="K12" s="7">
        <v>3615428</v>
      </c>
      <c r="L12" s="7">
        <v>3562448</v>
      </c>
      <c r="M12" s="7">
        <v>3472393</v>
      </c>
      <c r="N12" s="9">
        <f t="shared" si="0"/>
        <v>42929284</v>
      </c>
      <c r="P12" s="21"/>
    </row>
    <row r="13" spans="1:16">
      <c r="A13" s="6" t="s">
        <v>9</v>
      </c>
      <c r="B13" s="7">
        <v>3778525</v>
      </c>
      <c r="C13" s="7">
        <v>3334527</v>
      </c>
      <c r="D13" s="7">
        <v>3962938</v>
      </c>
      <c r="E13" s="7">
        <v>3719773</v>
      </c>
      <c r="F13" s="7">
        <v>4174989</v>
      </c>
      <c r="G13" s="7">
        <v>3541720</v>
      </c>
      <c r="H13" s="7">
        <v>3862467</v>
      </c>
      <c r="I13" s="7">
        <v>4016030</v>
      </c>
      <c r="J13" s="7">
        <v>3976740</v>
      </c>
      <c r="K13" s="7">
        <v>3836849</v>
      </c>
      <c r="L13" s="7">
        <v>3969970</v>
      </c>
      <c r="M13" s="7">
        <v>3601376</v>
      </c>
      <c r="N13" s="9">
        <f t="shared" si="0"/>
        <v>45775904</v>
      </c>
      <c r="P13" s="21"/>
    </row>
    <row r="14" spans="1:16">
      <c r="A14" s="6" t="s">
        <v>10</v>
      </c>
      <c r="B14" s="7">
        <v>3833834</v>
      </c>
      <c r="C14" s="7">
        <v>3949144</v>
      </c>
      <c r="D14" s="7">
        <v>4341094</v>
      </c>
      <c r="E14" s="7">
        <v>3974595</v>
      </c>
      <c r="F14" s="7">
        <v>3797832</v>
      </c>
      <c r="G14" s="7">
        <v>3599892</v>
      </c>
      <c r="H14" s="7">
        <v>3542952</v>
      </c>
      <c r="I14" s="7">
        <v>2690907</v>
      </c>
      <c r="J14" s="7">
        <v>3777245</v>
      </c>
      <c r="K14" s="7">
        <v>4382480</v>
      </c>
      <c r="L14" s="7">
        <v>4067356</v>
      </c>
      <c r="M14" s="7">
        <v>4255237</v>
      </c>
      <c r="N14" s="9">
        <f t="shared" si="0"/>
        <v>46212568</v>
      </c>
      <c r="P14" s="21"/>
    </row>
    <row r="15" spans="1:16">
      <c r="A15" s="6" t="s">
        <v>11</v>
      </c>
      <c r="B15" s="7">
        <v>3366309</v>
      </c>
      <c r="C15" s="7">
        <v>3481928</v>
      </c>
      <c r="D15" s="7">
        <v>3663057</v>
      </c>
      <c r="E15" s="7">
        <v>2895093</v>
      </c>
      <c r="F15" s="7">
        <v>3435582</v>
      </c>
      <c r="G15" s="7">
        <v>2975290</v>
      </c>
      <c r="H15" s="7">
        <v>3526140</v>
      </c>
      <c r="I15" s="7">
        <v>3484178</v>
      </c>
      <c r="J15" s="7">
        <v>3257247</v>
      </c>
      <c r="K15" s="7">
        <v>2743368</v>
      </c>
      <c r="L15" s="7">
        <v>2609386</v>
      </c>
      <c r="M15" s="7">
        <v>2830561</v>
      </c>
      <c r="N15" s="9">
        <f t="shared" si="0"/>
        <v>38268139</v>
      </c>
      <c r="P15" s="21"/>
    </row>
    <row r="16" spans="1:16">
      <c r="A16" s="6" t="s">
        <v>12</v>
      </c>
      <c r="B16" s="7">
        <v>4044937</v>
      </c>
      <c r="C16" s="7">
        <v>4033727</v>
      </c>
      <c r="D16" s="7">
        <v>4226255</v>
      </c>
      <c r="E16" s="7">
        <v>3767838</v>
      </c>
      <c r="F16" s="7">
        <v>4242340</v>
      </c>
      <c r="G16" s="7">
        <v>3732023</v>
      </c>
      <c r="H16" s="7">
        <v>4252489</v>
      </c>
      <c r="I16" s="7">
        <v>4760088</v>
      </c>
      <c r="J16" s="7">
        <v>4638650</v>
      </c>
      <c r="K16" s="7">
        <v>4826529</v>
      </c>
      <c r="L16" s="7">
        <v>4747730</v>
      </c>
      <c r="M16" s="7">
        <v>4481241</v>
      </c>
      <c r="N16" s="9">
        <f t="shared" si="0"/>
        <v>51753847</v>
      </c>
      <c r="P16" s="21"/>
    </row>
    <row r="17" spans="1:16">
      <c r="A17" s="6" t="s">
        <v>13</v>
      </c>
      <c r="B17" s="7">
        <v>3207345</v>
      </c>
      <c r="C17" s="7">
        <v>2277077</v>
      </c>
      <c r="D17" s="7">
        <v>2652605</v>
      </c>
      <c r="E17" s="7">
        <v>942535</v>
      </c>
      <c r="F17" s="7">
        <v>3534482</v>
      </c>
      <c r="G17" s="7">
        <v>2648020</v>
      </c>
      <c r="H17" s="7">
        <v>3093881</v>
      </c>
      <c r="I17" s="7">
        <v>3471899</v>
      </c>
      <c r="J17" s="7">
        <v>3188705</v>
      </c>
      <c r="K17" s="7">
        <v>2171396</v>
      </c>
      <c r="L17" s="7">
        <v>2973591</v>
      </c>
      <c r="M17" s="7">
        <v>3175266</v>
      </c>
      <c r="N17" s="9">
        <f t="shared" si="0"/>
        <v>33336802</v>
      </c>
      <c r="P17" s="21"/>
    </row>
    <row r="18" spans="1:16">
      <c r="A18" s="6" t="s">
        <v>14</v>
      </c>
      <c r="B18" s="7">
        <v>3590385</v>
      </c>
      <c r="C18" s="7">
        <v>3453658</v>
      </c>
      <c r="D18" s="7">
        <v>3709441</v>
      </c>
      <c r="E18" s="7">
        <v>3368079</v>
      </c>
      <c r="F18" s="7">
        <v>3345957</v>
      </c>
      <c r="G18" s="7">
        <v>2889562</v>
      </c>
      <c r="H18" s="7">
        <v>3448746</v>
      </c>
      <c r="I18" s="7">
        <v>3424923</v>
      </c>
      <c r="J18" s="7">
        <v>3506139</v>
      </c>
      <c r="K18" s="7">
        <v>2751743</v>
      </c>
      <c r="L18" s="7">
        <v>2803535</v>
      </c>
      <c r="M18" s="7">
        <v>2951101</v>
      </c>
      <c r="N18" s="9">
        <f t="shared" si="0"/>
        <v>39243269</v>
      </c>
      <c r="P18" s="21"/>
    </row>
    <row r="19" spans="1:16">
      <c r="A19" s="6" t="s">
        <v>15</v>
      </c>
      <c r="B19" s="7">
        <v>5053183</v>
      </c>
      <c r="C19" s="7">
        <v>4749741</v>
      </c>
      <c r="D19" s="7">
        <v>5142914</v>
      </c>
      <c r="E19" s="7">
        <v>4604318</v>
      </c>
      <c r="F19" s="7">
        <v>5069372</v>
      </c>
      <c r="G19" s="7">
        <v>4524918</v>
      </c>
      <c r="H19" s="7">
        <v>4707719</v>
      </c>
      <c r="I19" s="7">
        <v>4832382</v>
      </c>
      <c r="J19" s="7">
        <v>4637011</v>
      </c>
      <c r="K19" s="7">
        <v>4952961</v>
      </c>
      <c r="L19" s="7">
        <v>4600564</v>
      </c>
      <c r="M19" s="7">
        <v>4367187</v>
      </c>
      <c r="N19" s="9">
        <f t="shared" si="0"/>
        <v>57242270</v>
      </c>
      <c r="P19" s="21"/>
    </row>
    <row r="20" spans="1:16">
      <c r="A20" s="6" t="s">
        <v>16</v>
      </c>
      <c r="B20" s="7">
        <v>0</v>
      </c>
      <c r="C20" s="7">
        <v>0</v>
      </c>
      <c r="D20" s="7">
        <v>0</v>
      </c>
      <c r="E20" s="7">
        <v>0</v>
      </c>
      <c r="F20" s="20">
        <v>230845</v>
      </c>
      <c r="G20" s="7">
        <v>3572914</v>
      </c>
      <c r="H20" s="7">
        <v>3956445</v>
      </c>
      <c r="I20" s="7">
        <v>4311994</v>
      </c>
      <c r="J20" s="7">
        <v>3539402</v>
      </c>
      <c r="K20" s="7">
        <v>4483060</v>
      </c>
      <c r="L20" s="7">
        <v>4408371</v>
      </c>
      <c r="M20" s="7">
        <v>4350155</v>
      </c>
      <c r="N20" s="9">
        <f t="shared" si="0"/>
        <v>28853186</v>
      </c>
      <c r="P20" s="21"/>
    </row>
    <row r="21" spans="1:16">
      <c r="A21" s="6" t="s">
        <v>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2473503</v>
      </c>
      <c r="H21" s="7">
        <v>4563320</v>
      </c>
      <c r="I21" s="7">
        <v>4383261</v>
      </c>
      <c r="J21" s="7">
        <v>4575806</v>
      </c>
      <c r="K21" s="7">
        <v>4419962</v>
      </c>
      <c r="L21" s="7">
        <v>4158892</v>
      </c>
      <c r="M21" s="7">
        <v>4245235</v>
      </c>
      <c r="N21" s="9">
        <f t="shared" si="0"/>
        <v>28819979</v>
      </c>
      <c r="P21" s="21"/>
    </row>
    <row r="22" spans="1:16">
      <c r="A22" s="6" t="s">
        <v>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20">
        <v>195526</v>
      </c>
      <c r="H22" s="7">
        <v>3079693</v>
      </c>
      <c r="I22" s="7">
        <v>3147046</v>
      </c>
      <c r="J22" s="7">
        <v>2760535</v>
      </c>
      <c r="K22" s="7">
        <v>3589016</v>
      </c>
      <c r="L22" s="7">
        <v>3567856</v>
      </c>
      <c r="M22" s="7">
        <v>3459042</v>
      </c>
      <c r="N22" s="9">
        <f t="shared" si="0"/>
        <v>19798714</v>
      </c>
      <c r="P22" s="21"/>
    </row>
    <row r="23" spans="1:16">
      <c r="A23" s="6" t="s">
        <v>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20">
        <v>1554758</v>
      </c>
      <c r="I23" s="7">
        <v>3972615</v>
      </c>
      <c r="J23" s="7">
        <v>4086293</v>
      </c>
      <c r="K23" s="7">
        <v>4106721</v>
      </c>
      <c r="L23" s="7">
        <v>4029573</v>
      </c>
      <c r="M23" s="7">
        <v>3791740</v>
      </c>
      <c r="N23" s="9">
        <f t="shared" si="0"/>
        <v>21541700</v>
      </c>
      <c r="P23" s="21"/>
    </row>
    <row r="24" spans="1:16">
      <c r="A24" s="6" t="s">
        <v>21</v>
      </c>
      <c r="B24" s="7">
        <f>SUM(B5:B23)</f>
        <v>51375475</v>
      </c>
      <c r="C24" s="7">
        <f t="shared" ref="C24:M24" si="1">SUM(C5:C23)</f>
        <v>49604471</v>
      </c>
      <c r="D24" s="7">
        <f t="shared" si="1"/>
        <v>54075027</v>
      </c>
      <c r="E24" s="7">
        <f t="shared" si="1"/>
        <v>38858574</v>
      </c>
      <c r="F24" s="7">
        <f t="shared" si="1"/>
        <v>53004523</v>
      </c>
      <c r="G24" s="7">
        <f t="shared" si="1"/>
        <v>52134045</v>
      </c>
      <c r="H24" s="7">
        <f t="shared" si="1"/>
        <v>62945280</v>
      </c>
      <c r="I24" s="7">
        <f t="shared" si="1"/>
        <v>67014139</v>
      </c>
      <c r="J24" s="7">
        <f t="shared" si="1"/>
        <v>66963097</v>
      </c>
      <c r="K24" s="7">
        <f t="shared" si="1"/>
        <v>63972687</v>
      </c>
      <c r="L24" s="7">
        <f t="shared" si="1"/>
        <v>64878292</v>
      </c>
      <c r="M24" s="7">
        <f t="shared" si="1"/>
        <v>65822284</v>
      </c>
      <c r="N24" s="9">
        <f t="shared" si="0"/>
        <v>690647894</v>
      </c>
    </row>
    <row r="26" spans="1:16">
      <c r="A26" s="24" t="s">
        <v>45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6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9" spans="1:16">
      <c r="A29" s="6" t="s">
        <v>1</v>
      </c>
      <c r="B29" s="7">
        <v>2624081</v>
      </c>
      <c r="C29" s="7">
        <v>2928832</v>
      </c>
      <c r="D29" s="7">
        <v>2929184</v>
      </c>
      <c r="E29" s="7">
        <v>3056469</v>
      </c>
      <c r="F29" s="7">
        <v>3206726</v>
      </c>
      <c r="G29" s="7">
        <v>2993866</v>
      </c>
      <c r="H29" s="7">
        <v>3291094</v>
      </c>
      <c r="I29" s="7">
        <v>3057450</v>
      </c>
      <c r="J29" s="7">
        <v>3181666</v>
      </c>
      <c r="K29" s="7"/>
      <c r="L29" s="7"/>
      <c r="M29" s="7"/>
      <c r="N29" s="5" t="s">
        <v>35</v>
      </c>
    </row>
    <row r="30" spans="1:16">
      <c r="A30" s="6" t="s">
        <v>2</v>
      </c>
      <c r="B30" s="7">
        <v>3117746</v>
      </c>
      <c r="C30" s="7">
        <v>3104279</v>
      </c>
      <c r="D30" s="7">
        <v>3149845</v>
      </c>
      <c r="E30" s="7">
        <v>2840042</v>
      </c>
      <c r="F30" s="7">
        <v>2935296</v>
      </c>
      <c r="G30" s="7">
        <v>2696219</v>
      </c>
      <c r="H30" s="7">
        <v>3207881</v>
      </c>
      <c r="I30" s="7">
        <v>2865954</v>
      </c>
      <c r="J30" s="7">
        <v>2619559</v>
      </c>
      <c r="K30" s="7"/>
      <c r="L30" s="7"/>
      <c r="M30" s="7"/>
      <c r="N30" s="9">
        <f>SUM(B30:M30)</f>
        <v>26536821</v>
      </c>
    </row>
    <row r="31" spans="1:16">
      <c r="A31" s="6" t="s">
        <v>3</v>
      </c>
      <c r="B31" s="7">
        <v>2819838</v>
      </c>
      <c r="C31" s="7">
        <v>3092399</v>
      </c>
      <c r="D31" s="7">
        <v>3423722</v>
      </c>
      <c r="E31" s="7">
        <v>3341355</v>
      </c>
      <c r="F31" s="7">
        <v>2819604</v>
      </c>
      <c r="G31" s="7">
        <v>2759820</v>
      </c>
      <c r="H31" s="7">
        <v>3280259</v>
      </c>
      <c r="I31" s="7">
        <v>3318543</v>
      </c>
      <c r="J31" s="7">
        <v>3123717</v>
      </c>
      <c r="K31" s="7"/>
      <c r="L31" s="7"/>
      <c r="M31" s="7"/>
      <c r="N31" s="9">
        <f t="shared" ref="N31:N52" si="2">SUM(B31:M31)</f>
        <v>27979257</v>
      </c>
    </row>
    <row r="32" spans="1:16">
      <c r="A32" s="6" t="s">
        <v>4</v>
      </c>
      <c r="B32" s="7">
        <v>2970463</v>
      </c>
      <c r="C32" s="7">
        <v>3111940</v>
      </c>
      <c r="D32" s="7">
        <v>3068712</v>
      </c>
      <c r="E32" s="7">
        <v>3359563</v>
      </c>
      <c r="F32" s="7">
        <v>3358313</v>
      </c>
      <c r="G32" s="7">
        <v>2997192</v>
      </c>
      <c r="H32" s="7">
        <v>3116514</v>
      </c>
      <c r="I32" s="7">
        <v>3060049</v>
      </c>
      <c r="J32" s="7">
        <v>2846160</v>
      </c>
      <c r="K32" s="7"/>
      <c r="L32" s="7"/>
      <c r="M32" s="7"/>
      <c r="N32" s="9">
        <f t="shared" si="2"/>
        <v>27888906</v>
      </c>
    </row>
    <row r="33" spans="1:14">
      <c r="A33" s="6" t="s">
        <v>5</v>
      </c>
      <c r="B33" s="7">
        <v>3115415</v>
      </c>
      <c r="C33" s="7">
        <v>3067525</v>
      </c>
      <c r="D33" s="7">
        <v>3014384</v>
      </c>
      <c r="E33" s="7">
        <v>3137488</v>
      </c>
      <c r="F33" s="7">
        <v>3299121</v>
      </c>
      <c r="G33" s="7">
        <v>2937172</v>
      </c>
      <c r="H33" s="7">
        <v>3036969</v>
      </c>
      <c r="I33" s="7">
        <v>2470031</v>
      </c>
      <c r="J33" s="7">
        <v>2887660</v>
      </c>
      <c r="K33" s="7"/>
      <c r="L33" s="7"/>
      <c r="M33" s="7"/>
      <c r="N33" s="9">
        <f t="shared" si="2"/>
        <v>26965765</v>
      </c>
    </row>
    <row r="34" spans="1:14">
      <c r="A34" s="6" t="s">
        <v>6</v>
      </c>
      <c r="B34" s="7">
        <v>2757862</v>
      </c>
      <c r="C34" s="7">
        <v>2807421</v>
      </c>
      <c r="D34" s="7">
        <v>2066891</v>
      </c>
      <c r="E34" s="7">
        <v>3242825</v>
      </c>
      <c r="F34" s="7">
        <v>3036937</v>
      </c>
      <c r="G34" s="7">
        <v>2875946</v>
      </c>
      <c r="H34" s="7">
        <v>2854056</v>
      </c>
      <c r="I34" s="7">
        <v>2898322</v>
      </c>
      <c r="J34" s="7">
        <v>3105716</v>
      </c>
      <c r="K34" s="7"/>
      <c r="L34" s="7"/>
      <c r="M34" s="7"/>
      <c r="N34" s="9">
        <f t="shared" si="2"/>
        <v>25645976</v>
      </c>
    </row>
    <row r="35" spans="1:14">
      <c r="A35" s="6" t="s">
        <v>7</v>
      </c>
      <c r="B35" s="7">
        <v>2523385</v>
      </c>
      <c r="C35" s="7">
        <v>1064104</v>
      </c>
      <c r="D35" s="7">
        <v>3027735</v>
      </c>
      <c r="E35" s="7">
        <v>3315661</v>
      </c>
      <c r="F35" s="7">
        <v>3193201</v>
      </c>
      <c r="G35" s="7">
        <v>2055240</v>
      </c>
      <c r="H35" s="7">
        <v>3267457</v>
      </c>
      <c r="I35" s="7">
        <v>2822656</v>
      </c>
      <c r="J35" s="7">
        <v>3385923</v>
      </c>
      <c r="K35" s="7"/>
      <c r="L35" s="7"/>
      <c r="M35" s="7"/>
      <c r="N35" s="9">
        <f t="shared" si="2"/>
        <v>24655362</v>
      </c>
    </row>
    <row r="36" spans="1:14">
      <c r="A36" s="6" t="s">
        <v>8</v>
      </c>
      <c r="B36" s="7">
        <v>3564627</v>
      </c>
      <c r="C36" s="7">
        <v>2953467</v>
      </c>
      <c r="D36" s="7">
        <v>2785347</v>
      </c>
      <c r="E36" s="7">
        <v>3362580</v>
      </c>
      <c r="F36" s="7">
        <v>3067077</v>
      </c>
      <c r="G36" s="7">
        <v>2754211</v>
      </c>
      <c r="H36" s="7">
        <v>3108120</v>
      </c>
      <c r="I36" s="7">
        <v>3228874</v>
      </c>
      <c r="J36" s="7">
        <v>3339029</v>
      </c>
      <c r="K36" s="7"/>
      <c r="L36" s="7"/>
      <c r="M36" s="7"/>
      <c r="N36" s="9">
        <f t="shared" si="2"/>
        <v>28163332</v>
      </c>
    </row>
    <row r="37" spans="1:14">
      <c r="A37" s="6" t="s">
        <v>9</v>
      </c>
      <c r="B37" s="7">
        <v>3095553</v>
      </c>
      <c r="C37" s="7">
        <v>3385595</v>
      </c>
      <c r="D37" s="7">
        <v>3673684</v>
      </c>
      <c r="E37" s="7">
        <v>3506301</v>
      </c>
      <c r="F37" s="7">
        <v>3364324</v>
      </c>
      <c r="G37" s="7">
        <v>2833439</v>
      </c>
      <c r="H37" s="7">
        <v>3317277</v>
      </c>
      <c r="I37" s="7">
        <v>3673980</v>
      </c>
      <c r="J37" s="7">
        <v>3448454</v>
      </c>
      <c r="K37" s="7"/>
      <c r="L37" s="7"/>
      <c r="M37" s="7"/>
      <c r="N37" s="9">
        <f t="shared" si="2"/>
        <v>30298607</v>
      </c>
    </row>
    <row r="38" spans="1:14">
      <c r="A38" s="6" t="s">
        <v>10</v>
      </c>
      <c r="B38" s="7">
        <v>4119741</v>
      </c>
      <c r="C38" s="7">
        <v>2997295</v>
      </c>
      <c r="D38" s="7">
        <v>4187666</v>
      </c>
      <c r="E38" s="7">
        <v>4156696</v>
      </c>
      <c r="F38" s="7">
        <v>4543954</v>
      </c>
      <c r="G38" s="7">
        <v>4129968</v>
      </c>
      <c r="H38" s="7">
        <v>4450920</v>
      </c>
      <c r="I38" s="7">
        <v>4143275</v>
      </c>
      <c r="J38" s="7">
        <v>3946913</v>
      </c>
      <c r="K38" s="7"/>
      <c r="L38" s="7"/>
      <c r="M38" s="7"/>
      <c r="N38" s="9">
        <f t="shared" si="2"/>
        <v>36676428</v>
      </c>
    </row>
    <row r="39" spans="1:14">
      <c r="A39" s="6" t="s">
        <v>11</v>
      </c>
      <c r="B39" s="7">
        <v>2794679</v>
      </c>
      <c r="C39" s="7">
        <v>2619493</v>
      </c>
      <c r="D39" s="7">
        <v>2651737</v>
      </c>
      <c r="E39" s="7">
        <v>3033876</v>
      </c>
      <c r="F39" s="7">
        <v>2691393</v>
      </c>
      <c r="G39" s="7">
        <v>956396</v>
      </c>
      <c r="H39" s="7">
        <v>1175494</v>
      </c>
      <c r="I39" s="7">
        <v>2286166</v>
      </c>
      <c r="J39" s="7">
        <v>3063701</v>
      </c>
      <c r="K39" s="7"/>
      <c r="L39" s="7"/>
      <c r="M39" s="7"/>
      <c r="N39" s="9">
        <f t="shared" si="2"/>
        <v>21272935</v>
      </c>
    </row>
    <row r="40" spans="1:14">
      <c r="A40" s="6" t="s">
        <v>12</v>
      </c>
      <c r="B40" s="7">
        <v>4095787</v>
      </c>
      <c r="C40" s="7">
        <v>4224782</v>
      </c>
      <c r="D40" s="7">
        <v>4498549</v>
      </c>
      <c r="E40" s="7">
        <v>4302088</v>
      </c>
      <c r="F40" s="7">
        <v>4438971</v>
      </c>
      <c r="G40" s="7">
        <v>3377971</v>
      </c>
      <c r="H40" s="7">
        <v>3673237</v>
      </c>
      <c r="I40" s="7">
        <v>3488003</v>
      </c>
      <c r="J40" s="7">
        <v>4087964</v>
      </c>
      <c r="K40" s="7"/>
      <c r="L40" s="7"/>
      <c r="M40" s="7"/>
      <c r="N40" s="9">
        <f t="shared" si="2"/>
        <v>36187352</v>
      </c>
    </row>
    <row r="41" spans="1:14">
      <c r="A41" s="6" t="s">
        <v>13</v>
      </c>
      <c r="B41" s="7">
        <v>3056817</v>
      </c>
      <c r="C41" s="7">
        <v>2706920</v>
      </c>
      <c r="D41" s="7">
        <v>2374489</v>
      </c>
      <c r="E41" s="7">
        <v>2745643</v>
      </c>
      <c r="F41" s="7">
        <v>2745151</v>
      </c>
      <c r="G41" s="7">
        <v>2737892</v>
      </c>
      <c r="H41" s="7">
        <v>2997923</v>
      </c>
      <c r="I41" s="7">
        <v>2699007</v>
      </c>
      <c r="J41" s="7">
        <v>2772435</v>
      </c>
      <c r="K41" s="7"/>
      <c r="L41" s="7"/>
      <c r="M41" s="7"/>
      <c r="N41" s="9">
        <f t="shared" si="2"/>
        <v>24836277</v>
      </c>
    </row>
    <row r="42" spans="1:14">
      <c r="A42" s="6" t="s">
        <v>14</v>
      </c>
      <c r="B42" s="7">
        <v>2632720</v>
      </c>
      <c r="C42" s="7">
        <v>1334412</v>
      </c>
      <c r="D42" s="7">
        <v>2954543</v>
      </c>
      <c r="E42" s="7">
        <v>3408984</v>
      </c>
      <c r="F42" s="7">
        <v>3638295</v>
      </c>
      <c r="G42" s="7">
        <v>3034703</v>
      </c>
      <c r="H42" s="7">
        <v>3143249</v>
      </c>
      <c r="I42" s="7">
        <v>1841098</v>
      </c>
      <c r="J42" s="7">
        <v>3294099</v>
      </c>
      <c r="K42" s="7"/>
      <c r="L42" s="7"/>
      <c r="M42" s="7"/>
      <c r="N42" s="9">
        <f t="shared" si="2"/>
        <v>25282103</v>
      </c>
    </row>
    <row r="43" spans="1:14">
      <c r="A43" s="6" t="s">
        <v>15</v>
      </c>
      <c r="B43" s="7">
        <v>4297933</v>
      </c>
      <c r="C43" s="7">
        <v>4129171</v>
      </c>
      <c r="D43" s="7">
        <v>4293980</v>
      </c>
      <c r="E43" s="7">
        <v>4454642</v>
      </c>
      <c r="F43" s="7">
        <v>4384504</v>
      </c>
      <c r="G43" s="7">
        <v>3408086</v>
      </c>
      <c r="H43" s="7">
        <v>3667762</v>
      </c>
      <c r="I43" s="7">
        <v>2609515</v>
      </c>
      <c r="J43" s="7">
        <v>4388777</v>
      </c>
      <c r="K43" s="7"/>
      <c r="L43" s="7"/>
      <c r="M43" s="7"/>
      <c r="N43" s="9">
        <f t="shared" si="2"/>
        <v>35634370</v>
      </c>
    </row>
    <row r="44" spans="1:14">
      <c r="A44" s="6" t="s">
        <v>16</v>
      </c>
      <c r="B44" s="7">
        <v>4044575</v>
      </c>
      <c r="C44" s="7">
        <v>3460264</v>
      </c>
      <c r="D44" s="7">
        <v>3812704</v>
      </c>
      <c r="E44" s="7">
        <v>3795897</v>
      </c>
      <c r="F44" s="22">
        <v>4178823</v>
      </c>
      <c r="G44" s="22">
        <v>3791060</v>
      </c>
      <c r="H44" s="22">
        <v>4005215</v>
      </c>
      <c r="I44" s="7">
        <v>3685705</v>
      </c>
      <c r="J44" s="7">
        <v>3618361</v>
      </c>
      <c r="K44" s="7"/>
      <c r="L44" s="7"/>
      <c r="M44" s="7"/>
      <c r="N44" s="9">
        <f t="shared" si="2"/>
        <v>34392604</v>
      </c>
    </row>
    <row r="45" spans="1:14">
      <c r="A45" s="6" t="s">
        <v>17</v>
      </c>
      <c r="B45" s="7">
        <v>3895435</v>
      </c>
      <c r="C45" s="7">
        <v>3872925</v>
      </c>
      <c r="D45" s="7">
        <v>3418277</v>
      </c>
      <c r="E45" s="7">
        <v>1977295</v>
      </c>
      <c r="F45" s="22">
        <v>4296425</v>
      </c>
      <c r="G45" s="22">
        <v>3057492</v>
      </c>
      <c r="H45" s="22">
        <v>3465391</v>
      </c>
      <c r="I45" s="7">
        <v>3523838</v>
      </c>
      <c r="J45" s="7">
        <v>4226910</v>
      </c>
      <c r="K45" s="7"/>
      <c r="L45" s="7"/>
      <c r="M45" s="7"/>
      <c r="N45" s="9">
        <f t="shared" si="2"/>
        <v>31733988</v>
      </c>
    </row>
    <row r="46" spans="1:14">
      <c r="A46" s="6" t="s">
        <v>18</v>
      </c>
      <c r="B46" s="7">
        <v>3291873</v>
      </c>
      <c r="C46" s="7">
        <v>3409551</v>
      </c>
      <c r="D46" s="7">
        <v>3858399</v>
      </c>
      <c r="E46" s="7">
        <v>2986081</v>
      </c>
      <c r="F46" s="22">
        <v>2911782</v>
      </c>
      <c r="G46" s="22">
        <v>2811221</v>
      </c>
      <c r="H46" s="22">
        <v>3343789</v>
      </c>
      <c r="I46" s="7">
        <v>3107529</v>
      </c>
      <c r="J46" s="7">
        <v>3268427</v>
      </c>
      <c r="K46" s="7"/>
      <c r="L46" s="7"/>
      <c r="M46" s="7"/>
      <c r="N46" s="9">
        <f t="shared" si="2"/>
        <v>28988652</v>
      </c>
    </row>
    <row r="47" spans="1:14">
      <c r="A47" s="6" t="s">
        <v>19</v>
      </c>
      <c r="B47" s="7">
        <v>3865414</v>
      </c>
      <c r="C47" s="7">
        <v>3911189</v>
      </c>
      <c r="D47" s="7">
        <v>3712231</v>
      </c>
      <c r="E47" s="7">
        <v>3773004</v>
      </c>
      <c r="F47" s="22">
        <v>3274151</v>
      </c>
      <c r="G47" s="22">
        <v>2473946</v>
      </c>
      <c r="H47" s="22">
        <v>2997421</v>
      </c>
      <c r="I47" s="7">
        <v>2906099</v>
      </c>
      <c r="J47" s="7">
        <v>2932246</v>
      </c>
      <c r="K47" s="7"/>
      <c r="L47" s="7"/>
      <c r="M47" s="7"/>
      <c r="N47" s="9">
        <f t="shared" si="2"/>
        <v>29845701</v>
      </c>
    </row>
    <row r="48" spans="1:14">
      <c r="A48" s="6" t="s">
        <v>40</v>
      </c>
      <c r="B48" s="7">
        <v>0</v>
      </c>
      <c r="C48" s="7">
        <v>0</v>
      </c>
      <c r="D48" s="7">
        <v>0</v>
      </c>
      <c r="E48" s="7">
        <v>0</v>
      </c>
      <c r="F48" s="23">
        <v>0</v>
      </c>
      <c r="G48" s="22">
        <v>0</v>
      </c>
      <c r="H48" s="20">
        <v>29634</v>
      </c>
      <c r="I48" s="7">
        <v>1652587</v>
      </c>
      <c r="J48" s="7">
        <v>2312614</v>
      </c>
      <c r="K48" s="7"/>
      <c r="L48" s="7"/>
      <c r="M48" s="7"/>
      <c r="N48" s="9">
        <f t="shared" si="2"/>
        <v>3994835</v>
      </c>
    </row>
    <row r="49" spans="1:14">
      <c r="A49" s="6" t="s">
        <v>41</v>
      </c>
      <c r="B49" s="7">
        <v>0</v>
      </c>
      <c r="C49" s="7">
        <v>0</v>
      </c>
      <c r="D49" s="7">
        <v>0</v>
      </c>
      <c r="E49" s="7">
        <v>0</v>
      </c>
      <c r="F49" s="20">
        <v>374068</v>
      </c>
      <c r="G49" s="22">
        <v>2304606</v>
      </c>
      <c r="H49" s="22">
        <v>2953610</v>
      </c>
      <c r="I49" s="7">
        <v>3006175</v>
      </c>
      <c r="J49" s="7">
        <v>3192204</v>
      </c>
      <c r="K49" s="7"/>
      <c r="L49" s="7"/>
      <c r="M49" s="7"/>
      <c r="N49" s="9">
        <f t="shared" si="2"/>
        <v>11830663</v>
      </c>
    </row>
    <row r="50" spans="1:14">
      <c r="A50" s="6" t="s">
        <v>42</v>
      </c>
      <c r="B50" s="7">
        <v>0</v>
      </c>
      <c r="C50" s="7">
        <v>0</v>
      </c>
      <c r="D50" s="7">
        <v>0</v>
      </c>
      <c r="E50" s="7">
        <v>0</v>
      </c>
      <c r="F50" s="20">
        <v>1392403</v>
      </c>
      <c r="G50" s="22">
        <v>1588100</v>
      </c>
      <c r="H50" s="22">
        <v>2622627</v>
      </c>
      <c r="I50" s="7">
        <v>3081712</v>
      </c>
      <c r="J50" s="7">
        <v>972785</v>
      </c>
      <c r="K50" s="7"/>
      <c r="L50" s="7"/>
      <c r="M50" s="7"/>
      <c r="N50" s="9">
        <f t="shared" si="2"/>
        <v>9657627</v>
      </c>
    </row>
    <row r="51" spans="1:14">
      <c r="A51" s="6" t="s">
        <v>43</v>
      </c>
      <c r="B51" s="7">
        <v>0</v>
      </c>
      <c r="C51" s="7">
        <v>0</v>
      </c>
      <c r="D51" s="7">
        <v>0</v>
      </c>
      <c r="E51" s="7">
        <v>0</v>
      </c>
      <c r="F51" s="22">
        <v>0</v>
      </c>
      <c r="G51" s="20">
        <v>1420079</v>
      </c>
      <c r="H51" s="22">
        <v>3484953</v>
      </c>
      <c r="I51" s="7">
        <v>3906808</v>
      </c>
      <c r="J51" s="7">
        <v>3812895</v>
      </c>
      <c r="K51" s="7"/>
      <c r="L51" s="7"/>
      <c r="M51" s="7"/>
      <c r="N51" s="9">
        <f t="shared" si="2"/>
        <v>12624735</v>
      </c>
    </row>
    <row r="52" spans="1:14">
      <c r="A52" s="6" t="s">
        <v>21</v>
      </c>
      <c r="B52" s="7">
        <f>SUM(B29:B51)</f>
        <v>62683944</v>
      </c>
      <c r="C52" s="7">
        <f t="shared" ref="C52:M52" si="3">SUM(C29:C51)</f>
        <v>58181564</v>
      </c>
      <c r="D52" s="7">
        <f t="shared" si="3"/>
        <v>62902079</v>
      </c>
      <c r="E52" s="7">
        <f t="shared" si="3"/>
        <v>63796490</v>
      </c>
      <c r="F52" s="7">
        <f t="shared" si="3"/>
        <v>67150519</v>
      </c>
      <c r="G52" s="7">
        <f t="shared" si="3"/>
        <v>59994625</v>
      </c>
      <c r="H52" s="7">
        <f t="shared" si="3"/>
        <v>70490852</v>
      </c>
      <c r="I52" s="7">
        <f t="shared" si="3"/>
        <v>69333376</v>
      </c>
      <c r="J52" s="7">
        <f t="shared" si="3"/>
        <v>73828215</v>
      </c>
      <c r="K52" s="7">
        <f t="shared" si="3"/>
        <v>0</v>
      </c>
      <c r="L52" s="7">
        <f t="shared" si="3"/>
        <v>0</v>
      </c>
      <c r="M52" s="7">
        <f t="shared" si="3"/>
        <v>0</v>
      </c>
      <c r="N52" s="9">
        <f t="shared" si="2"/>
        <v>588361664</v>
      </c>
    </row>
  </sheetData>
  <mergeCells count="2">
    <mergeCell ref="A1:N2"/>
    <mergeCell ref="A26:N2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89D5-8AC1-4B06-AF0B-CC03FEA46357}">
  <dimension ref="A1:AB52"/>
  <sheetViews>
    <sheetView tabSelected="1" topLeftCell="A25" zoomScale="70" zoomScaleNormal="70" workbookViewId="0">
      <selection activeCell="L48" sqref="L48"/>
    </sheetView>
  </sheetViews>
  <sheetFormatPr defaultRowHeight="14.4"/>
  <cols>
    <col min="1" max="1" width="14.5546875" bestFit="1" customWidth="1"/>
    <col min="2" max="13" width="12.88671875" customWidth="1"/>
    <col min="14" max="14" width="12.33203125" bestFit="1" customWidth="1"/>
    <col min="15" max="15" width="10" bestFit="1" customWidth="1"/>
    <col min="16" max="16" width="21.5546875" customWidth="1"/>
    <col min="17" max="28" width="12.21875" bestFit="1" customWidth="1"/>
  </cols>
  <sheetData>
    <row r="1" spans="1:28">
      <c r="A1" s="24" t="s">
        <v>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P1" t="s">
        <v>46</v>
      </c>
      <c r="Q1" s="5" t="s">
        <v>34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  <c r="AB1" s="5" t="s">
        <v>33</v>
      </c>
    </row>
    <row r="2" spans="1:28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P2">
        <v>2024</v>
      </c>
      <c r="Q2" s="7">
        <v>51375475</v>
      </c>
      <c r="R2" s="7">
        <v>49604471</v>
      </c>
      <c r="S2" s="7">
        <v>54075027</v>
      </c>
      <c r="T2" s="7">
        <v>38858574</v>
      </c>
      <c r="U2" s="7">
        <v>53004523</v>
      </c>
      <c r="V2" s="7">
        <v>52134045</v>
      </c>
      <c r="W2" s="7">
        <v>62945280</v>
      </c>
      <c r="X2" s="7">
        <v>67014139</v>
      </c>
      <c r="Y2" s="7">
        <v>66963097</v>
      </c>
      <c r="Z2" s="7">
        <v>63972687</v>
      </c>
      <c r="AA2" s="7">
        <v>64878292</v>
      </c>
      <c r="AB2" s="7">
        <v>65822284</v>
      </c>
    </row>
    <row r="3" spans="1:28">
      <c r="A3">
        <f>24*60</f>
        <v>1440</v>
      </c>
      <c r="B3">
        <v>30</v>
      </c>
      <c r="C3">
        <v>29</v>
      </c>
      <c r="D3">
        <v>30</v>
      </c>
      <c r="E3">
        <v>30</v>
      </c>
      <c r="F3">
        <v>31</v>
      </c>
      <c r="G3">
        <v>29</v>
      </c>
      <c r="H3">
        <v>31</v>
      </c>
      <c r="I3">
        <v>31</v>
      </c>
      <c r="J3">
        <v>30</v>
      </c>
      <c r="K3">
        <v>31</v>
      </c>
      <c r="L3">
        <v>30</v>
      </c>
      <c r="M3">
        <v>31</v>
      </c>
      <c r="P3">
        <v>2025</v>
      </c>
      <c r="Q3" s="7">
        <v>47586647</v>
      </c>
      <c r="R3" s="7">
        <v>43527635</v>
      </c>
      <c r="S3" s="7">
        <v>48100468</v>
      </c>
      <c r="T3" s="7">
        <v>51264213</v>
      </c>
      <c r="U3" s="7">
        <v>54901690</v>
      </c>
      <c r="V3" s="7">
        <v>52207894</v>
      </c>
      <c r="W3" s="7">
        <v>61400028</v>
      </c>
      <c r="X3" s="7">
        <v>57686094</v>
      </c>
      <c r="Y3" s="7">
        <v>63537717</v>
      </c>
      <c r="Z3" s="7">
        <v>0</v>
      </c>
      <c r="AA3" s="7">
        <v>0</v>
      </c>
      <c r="AB3" s="7">
        <v>0</v>
      </c>
    </row>
    <row r="4" spans="1:28">
      <c r="A4" s="4" t="s">
        <v>0</v>
      </c>
      <c r="B4" s="5" t="s">
        <v>34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35</v>
      </c>
    </row>
    <row r="5" spans="1:28">
      <c r="A5" s="6" t="s">
        <v>1</v>
      </c>
      <c r="B5" s="7">
        <v>2679896</v>
      </c>
      <c r="C5" s="7">
        <v>2762820</v>
      </c>
      <c r="D5" s="7">
        <v>2896438</v>
      </c>
      <c r="E5" s="7">
        <v>2418445</v>
      </c>
      <c r="F5" s="7">
        <v>2742456</v>
      </c>
      <c r="G5" s="7">
        <v>2465713</v>
      </c>
      <c r="H5" s="7">
        <v>2244191</v>
      </c>
      <c r="I5" s="7">
        <v>2470593</v>
      </c>
      <c r="J5" s="7">
        <v>2777842</v>
      </c>
      <c r="K5" s="7">
        <v>2786941</v>
      </c>
      <c r="L5" s="7">
        <v>1712866</v>
      </c>
      <c r="M5" s="7">
        <v>2301813</v>
      </c>
      <c r="N5" s="9">
        <f>SUM(B5:M5)</f>
        <v>30260014</v>
      </c>
    </row>
    <row r="6" spans="1:28">
      <c r="A6" s="6" t="s">
        <v>2</v>
      </c>
      <c r="B6" s="7">
        <v>3107443</v>
      </c>
      <c r="C6" s="7">
        <v>3071662</v>
      </c>
      <c r="D6" s="7">
        <v>3429978</v>
      </c>
      <c r="E6" s="7">
        <v>960664</v>
      </c>
      <c r="F6" s="7">
        <v>3136506</v>
      </c>
      <c r="G6" s="7">
        <v>2654344</v>
      </c>
      <c r="H6" s="7">
        <v>2827936</v>
      </c>
      <c r="I6" s="7">
        <v>3214197</v>
      </c>
      <c r="J6" s="7">
        <v>2950168</v>
      </c>
      <c r="K6" s="7">
        <v>2081406</v>
      </c>
      <c r="L6" s="7">
        <v>2813662</v>
      </c>
      <c r="M6" s="7">
        <v>2957845</v>
      </c>
      <c r="N6" s="9">
        <f>SUM(B6:M6)</f>
        <v>33205811</v>
      </c>
    </row>
    <row r="7" spans="1:28">
      <c r="A7" s="6" t="s">
        <v>3</v>
      </c>
      <c r="B7" s="7">
        <v>2802295</v>
      </c>
      <c r="C7" s="7">
        <v>3312193</v>
      </c>
      <c r="D7" s="7">
        <v>3425960</v>
      </c>
      <c r="E7" s="7">
        <v>3128938</v>
      </c>
      <c r="F7" s="7">
        <v>2972352</v>
      </c>
      <c r="G7" s="7">
        <v>2707670</v>
      </c>
      <c r="H7" s="7">
        <v>3211015</v>
      </c>
      <c r="I7" s="7">
        <v>3087540</v>
      </c>
      <c r="J7" s="7">
        <v>3454924</v>
      </c>
      <c r="K7" s="7">
        <v>3209573</v>
      </c>
      <c r="L7" s="7">
        <v>3519706</v>
      </c>
      <c r="M7" s="7">
        <v>3581628</v>
      </c>
      <c r="N7" s="9">
        <f>SUM(B7:M7)</f>
        <v>38413794</v>
      </c>
    </row>
    <row r="8" spans="1:28">
      <c r="A8" s="6" t="s">
        <v>4</v>
      </c>
      <c r="B8" s="7">
        <v>3496135</v>
      </c>
      <c r="C8" s="7">
        <v>3353409</v>
      </c>
      <c r="D8" s="7">
        <v>3460143</v>
      </c>
      <c r="E8" s="7">
        <v>1113698</v>
      </c>
      <c r="F8" s="7">
        <v>3437634</v>
      </c>
      <c r="G8" s="7">
        <v>2856185</v>
      </c>
      <c r="H8" s="7">
        <v>3086589</v>
      </c>
      <c r="I8" s="7">
        <v>3115229</v>
      </c>
      <c r="J8" s="7">
        <v>3591959</v>
      </c>
      <c r="K8" s="7">
        <v>2618077</v>
      </c>
      <c r="L8" s="7">
        <v>2898232</v>
      </c>
      <c r="M8" s="7">
        <v>3468395</v>
      </c>
      <c r="N8" s="9">
        <f>SUM(B8:M8)</f>
        <v>36495685</v>
      </c>
    </row>
    <row r="9" spans="1:28">
      <c r="A9" s="6" t="s">
        <v>5</v>
      </c>
      <c r="B9" s="7">
        <v>3456007</v>
      </c>
      <c r="C9" s="7">
        <v>3210955</v>
      </c>
      <c r="D9" s="7">
        <v>3360587</v>
      </c>
      <c r="E9" s="7">
        <v>1116617</v>
      </c>
      <c r="F9" s="7">
        <v>3624543</v>
      </c>
      <c r="G9" s="7">
        <v>3010165</v>
      </c>
      <c r="H9" s="7">
        <v>3311086</v>
      </c>
      <c r="I9" s="7">
        <v>3639797</v>
      </c>
      <c r="J9" s="7">
        <v>3441806</v>
      </c>
      <c r="K9" s="7">
        <v>2576113</v>
      </c>
      <c r="L9" s="7">
        <v>3083021</v>
      </c>
      <c r="M9" s="7">
        <v>3276392</v>
      </c>
      <c r="N9" s="9">
        <f>SUM(B9:M9)</f>
        <v>37107089</v>
      </c>
    </row>
    <row r="10" spans="1:28">
      <c r="A10" s="6" t="s">
        <v>6</v>
      </c>
      <c r="B10" s="7">
        <v>2677177</v>
      </c>
      <c r="C10" s="7">
        <v>2530336</v>
      </c>
      <c r="D10" s="7">
        <v>2875134</v>
      </c>
      <c r="E10" s="7">
        <v>2539429</v>
      </c>
      <c r="F10" s="7">
        <v>2656141</v>
      </c>
      <c r="G10" s="7">
        <v>2548479</v>
      </c>
      <c r="H10" s="7">
        <v>2763163</v>
      </c>
      <c r="I10" s="7">
        <v>2931910</v>
      </c>
      <c r="J10" s="7">
        <v>2678887</v>
      </c>
      <c r="K10" s="7">
        <v>3177470</v>
      </c>
      <c r="L10" s="7">
        <v>3003814</v>
      </c>
      <c r="M10" s="7">
        <v>2701837</v>
      </c>
      <c r="N10" s="9">
        <f>SUM(B10:M10)</f>
        <v>33083777</v>
      </c>
    </row>
    <row r="11" spans="1:28">
      <c r="A11" s="6" t="s">
        <v>7</v>
      </c>
      <c r="B11" s="7">
        <v>2477674</v>
      </c>
      <c r="C11" s="7">
        <v>2414975</v>
      </c>
      <c r="D11" s="7">
        <v>2758591</v>
      </c>
      <c r="E11" s="7">
        <v>897987</v>
      </c>
      <c r="F11" s="7">
        <v>2933985</v>
      </c>
      <c r="G11" s="7">
        <v>2432620</v>
      </c>
      <c r="H11" s="7">
        <v>2346721</v>
      </c>
      <c r="I11" s="7">
        <v>2653109</v>
      </c>
      <c r="J11" s="7">
        <v>2845247</v>
      </c>
      <c r="K11" s="7">
        <v>1643594</v>
      </c>
      <c r="L11" s="7">
        <v>2347719</v>
      </c>
      <c r="M11" s="7">
        <v>2553840</v>
      </c>
      <c r="N11" s="9">
        <f>SUM(B11:M11)</f>
        <v>28306062</v>
      </c>
    </row>
    <row r="12" spans="1:28">
      <c r="A12" s="6" t="s">
        <v>8</v>
      </c>
      <c r="B12" s="7">
        <v>3804330</v>
      </c>
      <c r="C12" s="7">
        <v>3668319</v>
      </c>
      <c r="D12" s="7">
        <v>4169892</v>
      </c>
      <c r="E12" s="7">
        <v>3410565</v>
      </c>
      <c r="F12" s="7">
        <v>3669507</v>
      </c>
      <c r="G12" s="7">
        <v>3305501</v>
      </c>
      <c r="H12" s="7">
        <v>3565969</v>
      </c>
      <c r="I12" s="7">
        <v>3406441</v>
      </c>
      <c r="J12" s="7">
        <v>3278491</v>
      </c>
      <c r="K12" s="7">
        <v>3615428</v>
      </c>
      <c r="L12" s="7">
        <v>3562448</v>
      </c>
      <c r="M12" s="7">
        <v>3472393</v>
      </c>
      <c r="N12" s="9">
        <f>SUM(B12:M12)</f>
        <v>42929284</v>
      </c>
    </row>
    <row r="13" spans="1:28">
      <c r="A13" s="6" t="s">
        <v>9</v>
      </c>
      <c r="B13" s="7">
        <v>3778525</v>
      </c>
      <c r="C13" s="7">
        <v>3334527</v>
      </c>
      <c r="D13" s="7">
        <v>3962938</v>
      </c>
      <c r="E13" s="7">
        <v>3719773</v>
      </c>
      <c r="F13" s="7">
        <v>4174989</v>
      </c>
      <c r="G13" s="7">
        <v>3541720</v>
      </c>
      <c r="H13" s="7">
        <v>3862467</v>
      </c>
      <c r="I13" s="7">
        <v>4016030</v>
      </c>
      <c r="J13" s="7">
        <v>3976740</v>
      </c>
      <c r="K13" s="7">
        <v>3836849</v>
      </c>
      <c r="L13" s="7">
        <v>3969970</v>
      </c>
      <c r="M13" s="7">
        <v>3601376</v>
      </c>
      <c r="N13" s="9">
        <f>SUM(B13:M13)</f>
        <v>45775904</v>
      </c>
    </row>
    <row r="14" spans="1:28">
      <c r="A14" s="6" t="s">
        <v>10</v>
      </c>
      <c r="B14" s="7">
        <v>3833834</v>
      </c>
      <c r="C14" s="7">
        <v>3949144</v>
      </c>
      <c r="D14" s="7">
        <v>4341094</v>
      </c>
      <c r="E14" s="7">
        <v>3974595</v>
      </c>
      <c r="F14" s="7">
        <v>3797832</v>
      </c>
      <c r="G14" s="7">
        <v>3599892</v>
      </c>
      <c r="H14" s="7">
        <v>3542952</v>
      </c>
      <c r="I14" s="7">
        <v>2690907</v>
      </c>
      <c r="J14" s="7">
        <v>3777245</v>
      </c>
      <c r="K14" s="7">
        <v>4382480</v>
      </c>
      <c r="L14" s="7">
        <v>4067356</v>
      </c>
      <c r="M14" s="7">
        <v>4255237</v>
      </c>
      <c r="N14" s="9">
        <f>SUM(B14:M14)</f>
        <v>46212568</v>
      </c>
    </row>
    <row r="15" spans="1:28">
      <c r="A15" s="6" t="s">
        <v>11</v>
      </c>
      <c r="B15" s="7">
        <v>3366309</v>
      </c>
      <c r="C15" s="7">
        <v>3481928</v>
      </c>
      <c r="D15" s="7">
        <v>3663057</v>
      </c>
      <c r="E15" s="7">
        <v>2895093</v>
      </c>
      <c r="F15" s="7">
        <v>3435582</v>
      </c>
      <c r="G15" s="7">
        <v>2975290</v>
      </c>
      <c r="H15" s="7">
        <v>3526140</v>
      </c>
      <c r="I15" s="7">
        <v>3484178</v>
      </c>
      <c r="J15" s="7">
        <v>3257247</v>
      </c>
      <c r="K15" s="7">
        <v>2743368</v>
      </c>
      <c r="L15" s="7">
        <v>2609386</v>
      </c>
      <c r="M15" s="7">
        <v>2830561</v>
      </c>
      <c r="N15" s="9">
        <f>SUM(B15:M15)</f>
        <v>38268139</v>
      </c>
    </row>
    <row r="16" spans="1:28">
      <c r="A16" s="6" t="s">
        <v>12</v>
      </c>
      <c r="B16" s="7">
        <v>4044937</v>
      </c>
      <c r="C16" s="7">
        <v>4033727</v>
      </c>
      <c r="D16" s="7">
        <v>4226255</v>
      </c>
      <c r="E16" s="7">
        <v>3767838</v>
      </c>
      <c r="F16" s="7">
        <v>4242340</v>
      </c>
      <c r="G16" s="7">
        <v>3732023</v>
      </c>
      <c r="H16" s="7">
        <v>4252489</v>
      </c>
      <c r="I16" s="7">
        <v>4760088</v>
      </c>
      <c r="J16" s="7">
        <v>4638650</v>
      </c>
      <c r="K16" s="7">
        <v>4826529</v>
      </c>
      <c r="L16" s="7">
        <v>4747730</v>
      </c>
      <c r="M16" s="7">
        <v>4481241</v>
      </c>
      <c r="N16" s="9">
        <f>SUM(B16:M16)</f>
        <v>51753847</v>
      </c>
    </row>
    <row r="17" spans="1:14">
      <c r="A17" s="6" t="s">
        <v>13</v>
      </c>
      <c r="B17" s="7">
        <v>3207345</v>
      </c>
      <c r="C17" s="7">
        <v>2277077</v>
      </c>
      <c r="D17" s="7">
        <v>2652605</v>
      </c>
      <c r="E17" s="7">
        <v>942535</v>
      </c>
      <c r="F17" s="7">
        <v>3534482</v>
      </c>
      <c r="G17" s="7">
        <v>2648020</v>
      </c>
      <c r="H17" s="7">
        <v>3093881</v>
      </c>
      <c r="I17" s="7">
        <v>3471899</v>
      </c>
      <c r="J17" s="7">
        <v>3188705</v>
      </c>
      <c r="K17" s="7">
        <v>2171396</v>
      </c>
      <c r="L17" s="7">
        <v>2973591</v>
      </c>
      <c r="M17" s="7">
        <v>3175266</v>
      </c>
      <c r="N17" s="9">
        <f>SUM(B17:M17)</f>
        <v>33336802</v>
      </c>
    </row>
    <row r="18" spans="1:14">
      <c r="A18" s="6" t="s">
        <v>14</v>
      </c>
      <c r="B18" s="7">
        <v>3590385</v>
      </c>
      <c r="C18" s="7">
        <v>3453658</v>
      </c>
      <c r="D18" s="7">
        <v>3709441</v>
      </c>
      <c r="E18" s="7">
        <v>3368079</v>
      </c>
      <c r="F18" s="7">
        <v>3345957</v>
      </c>
      <c r="G18" s="7">
        <v>2889562</v>
      </c>
      <c r="H18" s="7">
        <v>3448746</v>
      </c>
      <c r="I18" s="7">
        <v>3424923</v>
      </c>
      <c r="J18" s="7">
        <v>3506139</v>
      </c>
      <c r="K18" s="7">
        <v>2751743</v>
      </c>
      <c r="L18" s="7">
        <v>2803535</v>
      </c>
      <c r="M18" s="7">
        <v>2951101</v>
      </c>
      <c r="N18" s="9">
        <f>SUM(B18:M18)</f>
        <v>39243269</v>
      </c>
    </row>
    <row r="19" spans="1:14">
      <c r="A19" s="6" t="s">
        <v>15</v>
      </c>
      <c r="B19" s="7">
        <v>5053183</v>
      </c>
      <c r="C19" s="7">
        <v>4749741</v>
      </c>
      <c r="D19" s="7">
        <v>5142914</v>
      </c>
      <c r="E19" s="7">
        <v>4604318</v>
      </c>
      <c r="F19" s="7">
        <v>5069372</v>
      </c>
      <c r="G19" s="7">
        <v>4524918</v>
      </c>
      <c r="H19" s="7">
        <v>4707719</v>
      </c>
      <c r="I19" s="7">
        <v>4832382</v>
      </c>
      <c r="J19" s="7">
        <v>4637011</v>
      </c>
      <c r="K19" s="7">
        <v>4952961</v>
      </c>
      <c r="L19" s="7">
        <v>4600564</v>
      </c>
      <c r="M19" s="7">
        <v>4367187</v>
      </c>
      <c r="N19" s="9">
        <f>SUM(B19:M19)</f>
        <v>57242270</v>
      </c>
    </row>
    <row r="20" spans="1:14">
      <c r="A20" s="6" t="s">
        <v>16</v>
      </c>
      <c r="B20" s="7">
        <v>0</v>
      </c>
      <c r="C20" s="7">
        <v>0</v>
      </c>
      <c r="D20" s="7">
        <v>0</v>
      </c>
      <c r="E20" s="7">
        <v>0</v>
      </c>
      <c r="F20" s="20">
        <v>230845</v>
      </c>
      <c r="G20" s="7">
        <v>3572914</v>
      </c>
      <c r="H20" s="7">
        <v>3956445</v>
      </c>
      <c r="I20" s="7">
        <v>4311994</v>
      </c>
      <c r="J20" s="7">
        <v>3539402</v>
      </c>
      <c r="K20" s="7">
        <v>4483060</v>
      </c>
      <c r="L20" s="7">
        <v>4408371</v>
      </c>
      <c r="M20" s="7">
        <v>4350155</v>
      </c>
      <c r="N20" s="9">
        <f>SUM(B20:M20)</f>
        <v>28853186</v>
      </c>
    </row>
    <row r="21" spans="1:14">
      <c r="A21" s="6" t="s">
        <v>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2473503</v>
      </c>
      <c r="H21" s="7">
        <v>4563320</v>
      </c>
      <c r="I21" s="7">
        <v>4383261</v>
      </c>
      <c r="J21" s="7">
        <v>4575806</v>
      </c>
      <c r="K21" s="7">
        <v>4419962</v>
      </c>
      <c r="L21" s="7">
        <v>4158892</v>
      </c>
      <c r="M21" s="7">
        <v>4245235</v>
      </c>
      <c r="N21" s="9">
        <f>SUM(B21:M21)</f>
        <v>28819979</v>
      </c>
    </row>
    <row r="22" spans="1:14">
      <c r="A22" s="6" t="s">
        <v>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20">
        <v>195526</v>
      </c>
      <c r="H22" s="7">
        <v>3079693</v>
      </c>
      <c r="I22" s="7">
        <v>3147046</v>
      </c>
      <c r="J22" s="7">
        <v>2760535</v>
      </c>
      <c r="K22" s="7">
        <v>3589016</v>
      </c>
      <c r="L22" s="7">
        <v>3567856</v>
      </c>
      <c r="M22" s="7">
        <v>3459042</v>
      </c>
      <c r="N22" s="9">
        <f>SUM(B22:M22)</f>
        <v>19798714</v>
      </c>
    </row>
    <row r="23" spans="1:14">
      <c r="A23" s="6" t="s">
        <v>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20">
        <v>1554758</v>
      </c>
      <c r="I23" s="7">
        <v>3972615</v>
      </c>
      <c r="J23" s="7">
        <v>4086293</v>
      </c>
      <c r="K23" s="7">
        <v>4106721</v>
      </c>
      <c r="L23" s="7">
        <v>4029573</v>
      </c>
      <c r="M23" s="7">
        <v>3791740</v>
      </c>
      <c r="N23" s="9">
        <f>SUM(B23:M23)</f>
        <v>21541700</v>
      </c>
    </row>
    <row r="24" spans="1:14">
      <c r="A24" s="6" t="s">
        <v>21</v>
      </c>
      <c r="B24" s="7">
        <f>SUM(B5:B23)</f>
        <v>51375475</v>
      </c>
      <c r="C24" s="7">
        <f>SUM(C5:C23)</f>
        <v>49604471</v>
      </c>
      <c r="D24" s="7">
        <f>SUM(D5:D23)</f>
        <v>54075027</v>
      </c>
      <c r="E24" s="7">
        <f>SUM(E5:E23)</f>
        <v>38858574</v>
      </c>
      <c r="F24" s="7">
        <f>SUM(F5:F23)</f>
        <v>53004523</v>
      </c>
      <c r="G24" s="7">
        <f>SUM(G5:G23)</f>
        <v>52134045</v>
      </c>
      <c r="H24" s="7">
        <f>SUM(H5:H23)</f>
        <v>62945280</v>
      </c>
      <c r="I24" s="7">
        <f>SUM(I5:I23)</f>
        <v>67014139</v>
      </c>
      <c r="J24" s="7">
        <f>SUM(J5:J23)</f>
        <v>66963097</v>
      </c>
      <c r="K24" s="7">
        <f>SUM(K5:K23)</f>
        <v>63972687</v>
      </c>
      <c r="L24" s="7">
        <f>SUM(L5:L23)</f>
        <v>64878292</v>
      </c>
      <c r="M24" s="7">
        <f>SUM(M5:M23)</f>
        <v>65822284</v>
      </c>
      <c r="N24" s="9">
        <f>SUM(B24:M24)</f>
        <v>690647894</v>
      </c>
    </row>
    <row r="26" spans="1:14">
      <c r="A26" s="24" t="s">
        <v>45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9" spans="1:14">
      <c r="A29" s="6" t="s">
        <v>1</v>
      </c>
      <c r="B29" s="7">
        <v>2624081</v>
      </c>
      <c r="C29" s="7">
        <v>2928832</v>
      </c>
      <c r="D29" s="7">
        <v>2929184</v>
      </c>
      <c r="E29" s="7">
        <v>3056469</v>
      </c>
      <c r="F29" s="7">
        <v>3206726</v>
      </c>
      <c r="G29" s="7">
        <v>2993866</v>
      </c>
      <c r="H29" s="7">
        <v>3291094</v>
      </c>
      <c r="I29" s="7">
        <v>3057450</v>
      </c>
      <c r="J29" s="7">
        <v>3181666</v>
      </c>
      <c r="K29" s="7"/>
      <c r="L29" s="7"/>
      <c r="M29" s="7"/>
      <c r="N29" s="5" t="s">
        <v>35</v>
      </c>
    </row>
    <row r="30" spans="1:14">
      <c r="A30" s="6" t="s">
        <v>2</v>
      </c>
      <c r="B30" s="7">
        <v>3117746</v>
      </c>
      <c r="C30" s="7">
        <v>3104279</v>
      </c>
      <c r="D30" s="7">
        <v>3149845</v>
      </c>
      <c r="E30" s="7">
        <v>2840042</v>
      </c>
      <c r="F30" s="7">
        <v>2935296</v>
      </c>
      <c r="G30" s="7">
        <v>2696219</v>
      </c>
      <c r="H30" s="7">
        <v>3207881</v>
      </c>
      <c r="I30" s="7">
        <v>2865954</v>
      </c>
      <c r="J30" s="7">
        <v>2619559</v>
      </c>
      <c r="K30" s="7"/>
      <c r="L30" s="7"/>
      <c r="M30" s="7"/>
      <c r="N30" s="9">
        <f>SUM(B30:M30)</f>
        <v>26536821</v>
      </c>
    </row>
    <row r="31" spans="1:14">
      <c r="A31" s="6" t="s">
        <v>3</v>
      </c>
      <c r="B31" s="7">
        <v>2819838</v>
      </c>
      <c r="C31" s="7">
        <v>3092399</v>
      </c>
      <c r="D31" s="7">
        <v>3423722</v>
      </c>
      <c r="E31" s="7">
        <v>3341355</v>
      </c>
      <c r="F31" s="7">
        <v>2819604</v>
      </c>
      <c r="G31" s="7">
        <v>2759820</v>
      </c>
      <c r="H31" s="7">
        <v>3280259</v>
      </c>
      <c r="I31" s="7">
        <v>3318543</v>
      </c>
      <c r="J31" s="7">
        <v>3123717</v>
      </c>
      <c r="K31" s="7"/>
      <c r="L31" s="7"/>
      <c r="M31" s="7"/>
      <c r="N31" s="9">
        <f>SUM(B31:M31)</f>
        <v>27979257</v>
      </c>
    </row>
    <row r="32" spans="1:14">
      <c r="A32" s="6" t="s">
        <v>4</v>
      </c>
      <c r="B32" s="7">
        <v>2970463</v>
      </c>
      <c r="C32" s="7">
        <v>3111940</v>
      </c>
      <c r="D32" s="7">
        <v>3068712</v>
      </c>
      <c r="E32" s="7">
        <v>3359563</v>
      </c>
      <c r="F32" s="7">
        <v>3358313</v>
      </c>
      <c r="G32" s="7">
        <v>2997192</v>
      </c>
      <c r="H32" s="7">
        <v>3116514</v>
      </c>
      <c r="I32" s="7">
        <v>3060049</v>
      </c>
      <c r="J32" s="7">
        <v>2846160</v>
      </c>
      <c r="K32" s="7"/>
      <c r="L32" s="7"/>
      <c r="M32" s="7"/>
      <c r="N32" s="9">
        <f>SUM(B32:M32)</f>
        <v>27888906</v>
      </c>
    </row>
    <row r="33" spans="1:14">
      <c r="A33" s="6" t="s">
        <v>5</v>
      </c>
      <c r="B33" s="7">
        <v>3115415</v>
      </c>
      <c r="C33" s="7">
        <v>3067525</v>
      </c>
      <c r="D33" s="7">
        <v>3014384</v>
      </c>
      <c r="E33" s="7">
        <v>3137488</v>
      </c>
      <c r="F33" s="7">
        <v>3299121</v>
      </c>
      <c r="G33" s="7">
        <v>2937172</v>
      </c>
      <c r="H33" s="7">
        <v>3036969</v>
      </c>
      <c r="I33" s="7">
        <v>2470031</v>
      </c>
      <c r="J33" s="7">
        <v>2887660</v>
      </c>
      <c r="K33" s="7"/>
      <c r="L33" s="7"/>
      <c r="M33" s="7"/>
      <c r="N33" s="9">
        <f>SUM(B33:M33)</f>
        <v>26965765</v>
      </c>
    </row>
    <row r="34" spans="1:14">
      <c r="A34" s="6" t="s">
        <v>6</v>
      </c>
      <c r="B34" s="7">
        <v>2757862</v>
      </c>
      <c r="C34" s="7">
        <v>2807421</v>
      </c>
      <c r="D34" s="7">
        <v>2066891</v>
      </c>
      <c r="E34" s="7">
        <v>3242825</v>
      </c>
      <c r="F34" s="7">
        <v>3036937</v>
      </c>
      <c r="G34" s="7">
        <v>2875946</v>
      </c>
      <c r="H34" s="7">
        <v>2854056</v>
      </c>
      <c r="I34" s="7">
        <v>2898322</v>
      </c>
      <c r="J34" s="7">
        <v>3105716</v>
      </c>
      <c r="K34" s="7"/>
      <c r="L34" s="7"/>
      <c r="M34" s="7"/>
      <c r="N34" s="9">
        <f>SUM(B34:M34)</f>
        <v>25645976</v>
      </c>
    </row>
    <row r="35" spans="1:14">
      <c r="A35" s="6" t="s">
        <v>7</v>
      </c>
      <c r="B35" s="7">
        <v>2523385</v>
      </c>
      <c r="C35" s="7">
        <v>1064104</v>
      </c>
      <c r="D35" s="7">
        <v>3027735</v>
      </c>
      <c r="E35" s="7">
        <v>3315661</v>
      </c>
      <c r="F35" s="7">
        <v>3193201</v>
      </c>
      <c r="G35" s="7">
        <v>2055240</v>
      </c>
      <c r="H35" s="7">
        <v>3267457</v>
      </c>
      <c r="I35" s="7">
        <v>2822656</v>
      </c>
      <c r="J35" s="7">
        <v>3385923</v>
      </c>
      <c r="K35" s="7"/>
      <c r="L35" s="7"/>
      <c r="M35" s="7"/>
      <c r="N35" s="9">
        <f>SUM(B35:M35)</f>
        <v>24655362</v>
      </c>
    </row>
    <row r="36" spans="1:14">
      <c r="A36" s="6" t="s">
        <v>8</v>
      </c>
      <c r="B36" s="7">
        <v>3564627</v>
      </c>
      <c r="C36" s="7">
        <v>2953467</v>
      </c>
      <c r="D36" s="7">
        <v>2785347</v>
      </c>
      <c r="E36" s="7">
        <v>3362580</v>
      </c>
      <c r="F36" s="7">
        <v>3067077</v>
      </c>
      <c r="G36" s="7">
        <v>2754211</v>
      </c>
      <c r="H36" s="7">
        <v>3108120</v>
      </c>
      <c r="I36" s="7">
        <v>3228874</v>
      </c>
      <c r="J36" s="7">
        <v>3339029</v>
      </c>
      <c r="K36" s="7"/>
      <c r="L36" s="7"/>
      <c r="M36" s="7"/>
      <c r="N36" s="9">
        <f>SUM(B36:M36)</f>
        <v>28163332</v>
      </c>
    </row>
    <row r="37" spans="1:14">
      <c r="A37" s="6" t="s">
        <v>9</v>
      </c>
      <c r="B37" s="7">
        <v>3095553</v>
      </c>
      <c r="C37" s="7">
        <v>3385595</v>
      </c>
      <c r="D37" s="7">
        <v>3673684</v>
      </c>
      <c r="E37" s="7">
        <v>3506301</v>
      </c>
      <c r="F37" s="7">
        <v>3364324</v>
      </c>
      <c r="G37" s="7">
        <v>2833439</v>
      </c>
      <c r="H37" s="7">
        <v>3317277</v>
      </c>
      <c r="I37" s="7">
        <v>3673980</v>
      </c>
      <c r="J37" s="7">
        <v>3448454</v>
      </c>
      <c r="K37" s="7"/>
      <c r="L37" s="7"/>
      <c r="M37" s="7"/>
      <c r="N37" s="9">
        <f>SUM(B37:M37)</f>
        <v>30298607</v>
      </c>
    </row>
    <row r="38" spans="1:14">
      <c r="A38" s="6" t="s">
        <v>10</v>
      </c>
      <c r="B38" s="7">
        <v>4119741</v>
      </c>
      <c r="C38" s="7">
        <v>2997295</v>
      </c>
      <c r="D38" s="7">
        <v>4187666</v>
      </c>
      <c r="E38" s="7">
        <v>4156696</v>
      </c>
      <c r="F38" s="7">
        <v>4543954</v>
      </c>
      <c r="G38" s="7">
        <v>4129968</v>
      </c>
      <c r="H38" s="7">
        <v>4450920</v>
      </c>
      <c r="I38" s="7">
        <v>4143275</v>
      </c>
      <c r="J38" s="7">
        <v>3946913</v>
      </c>
      <c r="K38" s="7"/>
      <c r="L38" s="7"/>
      <c r="M38" s="7"/>
      <c r="N38" s="9">
        <f>SUM(B38:M38)</f>
        <v>36676428</v>
      </c>
    </row>
    <row r="39" spans="1:14">
      <c r="A39" s="6" t="s">
        <v>11</v>
      </c>
      <c r="B39" s="7">
        <v>2794679</v>
      </c>
      <c r="C39" s="7">
        <v>2619493</v>
      </c>
      <c r="D39" s="7">
        <v>2651737</v>
      </c>
      <c r="E39" s="7">
        <v>3033876</v>
      </c>
      <c r="F39" s="7">
        <v>2691393</v>
      </c>
      <c r="G39" s="7">
        <v>956396</v>
      </c>
      <c r="H39" s="7">
        <v>1175494</v>
      </c>
      <c r="I39" s="7">
        <v>2286166</v>
      </c>
      <c r="J39" s="7">
        <v>3063701</v>
      </c>
      <c r="K39" s="7"/>
      <c r="L39" s="7"/>
      <c r="M39" s="7"/>
      <c r="N39" s="9">
        <f>SUM(B39:M39)</f>
        <v>21272935</v>
      </c>
    </row>
    <row r="40" spans="1:14">
      <c r="A40" s="6" t="s">
        <v>12</v>
      </c>
      <c r="B40" s="7">
        <v>4095787</v>
      </c>
      <c r="C40" s="7">
        <v>4224782</v>
      </c>
      <c r="D40" s="7">
        <v>4498549</v>
      </c>
      <c r="E40" s="7">
        <v>4302088</v>
      </c>
      <c r="F40" s="7">
        <v>4438971</v>
      </c>
      <c r="G40" s="7">
        <v>3377971</v>
      </c>
      <c r="H40" s="7">
        <v>3673237</v>
      </c>
      <c r="I40" s="7">
        <v>3488003</v>
      </c>
      <c r="J40" s="7">
        <v>4087964</v>
      </c>
      <c r="K40" s="7"/>
      <c r="L40" s="7"/>
      <c r="M40" s="7"/>
      <c r="N40" s="9">
        <f>SUM(B40:M40)</f>
        <v>36187352</v>
      </c>
    </row>
    <row r="41" spans="1:14">
      <c r="A41" s="6" t="s">
        <v>13</v>
      </c>
      <c r="B41" s="7">
        <v>3056817</v>
      </c>
      <c r="C41" s="7">
        <v>2706920</v>
      </c>
      <c r="D41" s="7">
        <v>2374489</v>
      </c>
      <c r="E41" s="7">
        <v>2745643</v>
      </c>
      <c r="F41" s="7">
        <v>2745151</v>
      </c>
      <c r="G41" s="7">
        <v>2737892</v>
      </c>
      <c r="H41" s="7">
        <v>2997923</v>
      </c>
      <c r="I41" s="7">
        <v>2699007</v>
      </c>
      <c r="J41" s="7">
        <v>2772435</v>
      </c>
      <c r="K41" s="7"/>
      <c r="L41" s="7"/>
      <c r="M41" s="7"/>
      <c r="N41" s="9">
        <f>SUM(B41:M41)</f>
        <v>24836277</v>
      </c>
    </row>
    <row r="42" spans="1:14">
      <c r="A42" s="6" t="s">
        <v>14</v>
      </c>
      <c r="B42" s="7">
        <v>2632720</v>
      </c>
      <c r="C42" s="7">
        <v>1334412</v>
      </c>
      <c r="D42" s="7">
        <v>2954543</v>
      </c>
      <c r="E42" s="7">
        <v>3408984</v>
      </c>
      <c r="F42" s="7">
        <v>3638295</v>
      </c>
      <c r="G42" s="7">
        <v>3034703</v>
      </c>
      <c r="H42" s="7">
        <v>3143249</v>
      </c>
      <c r="I42" s="7">
        <v>1841098</v>
      </c>
      <c r="J42" s="7">
        <v>3294099</v>
      </c>
      <c r="K42" s="7"/>
      <c r="L42" s="7"/>
      <c r="M42" s="7"/>
      <c r="N42" s="9">
        <f>SUM(B42:M42)</f>
        <v>25282103</v>
      </c>
    </row>
    <row r="43" spans="1:14">
      <c r="A43" s="6" t="s">
        <v>15</v>
      </c>
      <c r="B43" s="7">
        <v>4297933</v>
      </c>
      <c r="C43" s="7">
        <v>4129171</v>
      </c>
      <c r="D43" s="7">
        <v>4293980</v>
      </c>
      <c r="E43" s="7">
        <v>4454642</v>
      </c>
      <c r="F43" s="7">
        <v>4384504</v>
      </c>
      <c r="G43" s="7">
        <v>3408086</v>
      </c>
      <c r="H43" s="7">
        <v>3667762</v>
      </c>
      <c r="I43" s="7">
        <v>2609515</v>
      </c>
      <c r="J43" s="7">
        <v>4388777</v>
      </c>
      <c r="K43" s="7"/>
      <c r="L43" s="7"/>
      <c r="M43" s="7"/>
      <c r="N43" s="9">
        <f>SUM(B43:M43)</f>
        <v>35634370</v>
      </c>
    </row>
    <row r="44" spans="1:14">
      <c r="A44" s="6" t="s">
        <v>16</v>
      </c>
      <c r="B44" s="7"/>
      <c r="C44" s="7"/>
      <c r="D44" s="7"/>
      <c r="E44" s="7"/>
      <c r="F44" s="22">
        <v>4178823</v>
      </c>
      <c r="G44" s="22">
        <v>3791060</v>
      </c>
      <c r="H44" s="22">
        <v>4005215</v>
      </c>
      <c r="I44" s="7">
        <v>3685705</v>
      </c>
      <c r="J44" s="7">
        <v>3618361</v>
      </c>
      <c r="K44" s="7"/>
      <c r="L44" s="7"/>
      <c r="M44" s="7"/>
      <c r="N44" s="9">
        <f>SUM(B44:M44)</f>
        <v>19279164</v>
      </c>
    </row>
    <row r="45" spans="1:14">
      <c r="A45" s="6" t="s">
        <v>17</v>
      </c>
      <c r="B45" s="7"/>
      <c r="C45" s="7"/>
      <c r="D45" s="7"/>
      <c r="E45" s="7"/>
      <c r="F45" s="22"/>
      <c r="G45" s="22">
        <v>3057492</v>
      </c>
      <c r="H45" s="22">
        <v>3465391</v>
      </c>
      <c r="I45" s="7">
        <v>3523838</v>
      </c>
      <c r="J45" s="7">
        <v>4226910</v>
      </c>
      <c r="K45" s="7"/>
      <c r="L45" s="7"/>
      <c r="M45" s="7"/>
      <c r="N45" s="9">
        <f>SUM(B45:M45)</f>
        <v>14273631</v>
      </c>
    </row>
    <row r="46" spans="1:14">
      <c r="A46" s="6" t="s">
        <v>18</v>
      </c>
      <c r="B46" s="7"/>
      <c r="C46" s="7"/>
      <c r="D46" s="7"/>
      <c r="E46" s="7"/>
      <c r="F46" s="22"/>
      <c r="G46" s="22">
        <v>2811221</v>
      </c>
      <c r="H46" s="22">
        <v>3343789</v>
      </c>
      <c r="I46" s="7">
        <v>3107529</v>
      </c>
      <c r="J46" s="7">
        <v>3268427</v>
      </c>
      <c r="K46" s="7"/>
      <c r="L46" s="7"/>
      <c r="M46" s="7"/>
      <c r="N46" s="9">
        <f>SUM(B46:M46)</f>
        <v>12530966</v>
      </c>
    </row>
    <row r="47" spans="1:14">
      <c r="A47" s="6" t="s">
        <v>19</v>
      </c>
      <c r="B47" s="7"/>
      <c r="C47" s="7"/>
      <c r="D47" s="7"/>
      <c r="E47" s="7"/>
      <c r="F47" s="22"/>
      <c r="G47" s="22"/>
      <c r="H47" s="22">
        <v>2997421</v>
      </c>
      <c r="I47" s="7">
        <v>2906099</v>
      </c>
      <c r="J47" s="7">
        <v>2932246</v>
      </c>
      <c r="K47" s="7"/>
      <c r="L47" s="7"/>
      <c r="M47" s="7"/>
      <c r="N47" s="9">
        <f>SUM(B47:M47)</f>
        <v>8835766</v>
      </c>
    </row>
    <row r="48" spans="1:14">
      <c r="A48" s="6" t="s">
        <v>40</v>
      </c>
      <c r="B48" s="7">
        <v>0</v>
      </c>
      <c r="C48" s="7">
        <v>0</v>
      </c>
      <c r="D48" s="7">
        <v>0</v>
      </c>
      <c r="E48" s="7">
        <v>0</v>
      </c>
      <c r="F48" s="23"/>
      <c r="G48" s="22"/>
      <c r="H48" s="20"/>
      <c r="I48" s="7"/>
      <c r="J48" s="7"/>
      <c r="K48" s="7"/>
      <c r="L48" s="7"/>
      <c r="M48" s="7"/>
      <c r="N48" s="9">
        <f>SUM(B48:M48)</f>
        <v>0</v>
      </c>
    </row>
    <row r="49" spans="1:14">
      <c r="A49" s="6" t="s">
        <v>41</v>
      </c>
      <c r="B49" s="7">
        <v>0</v>
      </c>
      <c r="C49" s="7">
        <v>0</v>
      </c>
      <c r="D49" s="7">
        <v>0</v>
      </c>
      <c r="E49" s="7">
        <v>0</v>
      </c>
      <c r="F49" s="20"/>
      <c r="G49" s="22"/>
      <c r="H49" s="22"/>
      <c r="I49" s="7"/>
      <c r="J49" s="7"/>
      <c r="K49" s="7"/>
      <c r="L49" s="7"/>
      <c r="M49" s="7"/>
      <c r="N49" s="9">
        <f>SUM(B49:M49)</f>
        <v>0</v>
      </c>
    </row>
    <row r="50" spans="1:14">
      <c r="A50" s="6" t="s">
        <v>42</v>
      </c>
      <c r="B50" s="7">
        <v>0</v>
      </c>
      <c r="C50" s="7">
        <v>0</v>
      </c>
      <c r="D50" s="7">
        <v>0</v>
      </c>
      <c r="E50" s="7">
        <v>0</v>
      </c>
      <c r="F50" s="20"/>
      <c r="G50" s="22"/>
      <c r="H50" s="22"/>
      <c r="I50" s="7"/>
      <c r="J50" s="7"/>
      <c r="K50" s="7"/>
      <c r="L50" s="7"/>
      <c r="M50" s="7"/>
      <c r="N50" s="9">
        <f>SUM(B50:M50)</f>
        <v>0</v>
      </c>
    </row>
    <row r="51" spans="1:14">
      <c r="A51" s="6" t="s">
        <v>43</v>
      </c>
      <c r="B51" s="7">
        <v>0</v>
      </c>
      <c r="C51" s="7">
        <v>0</v>
      </c>
      <c r="D51" s="7">
        <v>0</v>
      </c>
      <c r="E51" s="7">
        <v>0</v>
      </c>
      <c r="F51" s="22"/>
      <c r="G51" s="20"/>
      <c r="H51" s="22"/>
      <c r="I51" s="7"/>
      <c r="J51" s="7"/>
      <c r="K51" s="7"/>
      <c r="L51" s="7"/>
      <c r="M51" s="7"/>
      <c r="N51" s="9">
        <f>SUM(B51:M51)</f>
        <v>0</v>
      </c>
    </row>
    <row r="52" spans="1:14">
      <c r="A52" s="6" t="s">
        <v>21</v>
      </c>
      <c r="B52" s="7">
        <f>SUM(B29:B51)</f>
        <v>47586647</v>
      </c>
      <c r="C52" s="7">
        <f>SUM(C29:C51)</f>
        <v>43527635</v>
      </c>
      <c r="D52" s="7">
        <f>SUM(D29:D51)</f>
        <v>48100468</v>
      </c>
      <c r="E52" s="7">
        <f>SUM(E29:E51)</f>
        <v>51264213</v>
      </c>
      <c r="F52" s="7">
        <f>SUM(F29:F51)</f>
        <v>54901690</v>
      </c>
      <c r="G52" s="7">
        <f>SUM(G29:G51)</f>
        <v>52207894</v>
      </c>
      <c r="H52" s="7">
        <f>SUM(H29:H51)</f>
        <v>61400028</v>
      </c>
      <c r="I52" s="7">
        <f>SUM(I29:I51)</f>
        <v>57686094</v>
      </c>
      <c r="J52" s="7">
        <f>SUM(J29:J51)</f>
        <v>63537717</v>
      </c>
      <c r="K52" s="7">
        <f>SUM(K29:K51)</f>
        <v>0</v>
      </c>
      <c r="L52" s="7">
        <f>SUM(L29:L51)</f>
        <v>0</v>
      </c>
      <c r="M52" s="7">
        <f>SUM(M29:M51)</f>
        <v>0</v>
      </c>
      <c r="N52" s="9">
        <f>SUM(B52:M52)</f>
        <v>480212386</v>
      </c>
    </row>
  </sheetData>
  <mergeCells count="2">
    <mergeCell ref="A1:N2"/>
    <mergeCell ref="A26:N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38F1-92DA-49E1-92DF-2B4520BE88FD}">
  <dimension ref="A2:M4"/>
  <sheetViews>
    <sheetView workbookViewId="0">
      <selection activeCell="J4" sqref="J4"/>
    </sheetView>
  </sheetViews>
  <sheetFormatPr defaultRowHeight="14.4"/>
  <cols>
    <col min="2" max="13" width="13.77734375" bestFit="1" customWidth="1"/>
  </cols>
  <sheetData>
    <row r="2" spans="1:13">
      <c r="B2" s="5" t="s">
        <v>34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</row>
    <row r="3" spans="1:13">
      <c r="A3">
        <v>2024</v>
      </c>
      <c r="B3" s="2">
        <v>51375475</v>
      </c>
      <c r="C3" s="2">
        <v>49604471</v>
      </c>
      <c r="D3" s="2">
        <v>54075027</v>
      </c>
      <c r="E3" s="2">
        <v>38858574</v>
      </c>
      <c r="F3" s="2">
        <v>53004523</v>
      </c>
      <c r="G3" s="2">
        <v>52134045</v>
      </c>
      <c r="H3" s="2">
        <v>62945280</v>
      </c>
      <c r="I3" s="2">
        <v>67014139</v>
      </c>
      <c r="J3" s="2">
        <v>66963097</v>
      </c>
      <c r="K3" s="2">
        <v>63972687</v>
      </c>
      <c r="L3" s="2">
        <v>64878292</v>
      </c>
      <c r="M3" s="2">
        <v>65822284</v>
      </c>
    </row>
    <row r="4" spans="1:13">
      <c r="A4">
        <v>2025</v>
      </c>
      <c r="B4" s="7">
        <v>62683944</v>
      </c>
      <c r="C4" s="7">
        <v>58181564</v>
      </c>
      <c r="D4" s="7">
        <v>62902079</v>
      </c>
      <c r="E4" s="7">
        <v>63796490</v>
      </c>
      <c r="F4" s="7">
        <v>67150519</v>
      </c>
      <c r="G4" s="7">
        <v>59994625</v>
      </c>
      <c r="H4" s="7">
        <v>70490852</v>
      </c>
      <c r="I4" s="7">
        <v>69333376</v>
      </c>
      <c r="J4" s="7">
        <v>73828215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B42A-96FB-42F5-BBC3-D6E51915BB9B}">
  <dimension ref="B1:L26"/>
  <sheetViews>
    <sheetView workbookViewId="0">
      <selection activeCell="P17" sqref="P17"/>
    </sheetView>
  </sheetViews>
  <sheetFormatPr defaultRowHeight="14.4"/>
  <cols>
    <col min="3" max="3" width="8.33203125" bestFit="1" customWidth="1"/>
    <col min="4" max="4" width="13.88671875" bestFit="1" customWidth="1"/>
    <col min="5" max="5" width="12.33203125" bestFit="1" customWidth="1"/>
    <col min="6" max="6" width="7.44140625" bestFit="1" customWidth="1"/>
    <col min="10" max="10" width="13.88671875" bestFit="1" customWidth="1"/>
    <col min="11" max="11" width="12.33203125" bestFit="1" customWidth="1"/>
    <col min="12" max="12" width="8.109375" bestFit="1" customWidth="1"/>
  </cols>
  <sheetData>
    <row r="1" spans="2:12" ht="15" thickBot="1">
      <c r="H1" s="25">
        <v>45839</v>
      </c>
      <c r="I1" s="25"/>
      <c r="J1" s="25"/>
      <c r="K1" s="25"/>
      <c r="L1" s="25"/>
    </row>
    <row r="2" spans="2:12" ht="43.8" thickBot="1">
      <c r="B2" s="12" t="s">
        <v>0</v>
      </c>
      <c r="C2" s="12" t="s">
        <v>20</v>
      </c>
      <c r="D2" s="12" t="s">
        <v>38</v>
      </c>
      <c r="E2" s="12" t="s">
        <v>37</v>
      </c>
      <c r="F2" s="12" t="s">
        <v>36</v>
      </c>
      <c r="H2" s="13" t="s">
        <v>0</v>
      </c>
      <c r="I2" s="13" t="s">
        <v>20</v>
      </c>
      <c r="J2" s="13" t="s">
        <v>38</v>
      </c>
      <c r="K2" s="13" t="s">
        <v>39</v>
      </c>
      <c r="L2" s="13" t="s">
        <v>36</v>
      </c>
    </row>
    <row r="3" spans="2:12" ht="15" thickBot="1">
      <c r="B3" s="6" t="s">
        <v>1</v>
      </c>
      <c r="C3" s="1">
        <v>200</v>
      </c>
      <c r="D3" s="8">
        <v>104544000</v>
      </c>
      <c r="E3" s="8">
        <v>30260014</v>
      </c>
      <c r="F3" s="11">
        <f>E3/D3</f>
        <v>0.28944763927150291</v>
      </c>
      <c r="H3" s="14" t="s">
        <v>1</v>
      </c>
      <c r="I3" s="15">
        <v>200</v>
      </c>
      <c r="J3" s="16">
        <f>I3*44640</f>
        <v>8928000</v>
      </c>
      <c r="K3" s="16">
        <v>3291094</v>
      </c>
      <c r="L3" s="17">
        <f>K3/J3</f>
        <v>0.3686261200716846</v>
      </c>
    </row>
    <row r="4" spans="2:12" ht="15" thickBot="1">
      <c r="B4" s="6" t="s">
        <v>2</v>
      </c>
      <c r="C4" s="1">
        <v>200</v>
      </c>
      <c r="D4" s="8">
        <v>104544000</v>
      </c>
      <c r="E4" s="8">
        <v>33205811</v>
      </c>
      <c r="F4" s="11">
        <f t="shared" ref="F4:F22" si="0">E4/D4</f>
        <v>0.31762522000306093</v>
      </c>
      <c r="H4" s="14" t="s">
        <v>2</v>
      </c>
      <c r="I4" s="15">
        <v>200</v>
      </c>
      <c r="J4" s="16">
        <f t="shared" ref="J4:J25" si="1">I4*44640</f>
        <v>8928000</v>
      </c>
      <c r="K4" s="16">
        <v>3207881</v>
      </c>
      <c r="L4" s="17">
        <f t="shared" ref="L4:L21" si="2">K4/J4</f>
        <v>0.35930566756272403</v>
      </c>
    </row>
    <row r="5" spans="2:12" ht="15" thickBot="1">
      <c r="B5" s="6" t="s">
        <v>3</v>
      </c>
      <c r="C5" s="1">
        <v>200</v>
      </c>
      <c r="D5" s="8">
        <v>104544000</v>
      </c>
      <c r="E5" s="8">
        <v>38413794</v>
      </c>
      <c r="F5" s="11">
        <f t="shared" si="0"/>
        <v>0.36744140266299358</v>
      </c>
      <c r="H5" s="14" t="s">
        <v>3</v>
      </c>
      <c r="I5" s="15">
        <v>200</v>
      </c>
      <c r="J5" s="16">
        <f t="shared" si="1"/>
        <v>8928000</v>
      </c>
      <c r="K5" s="16">
        <v>3280259</v>
      </c>
      <c r="L5" s="17">
        <f t="shared" si="2"/>
        <v>0.36741252240143368</v>
      </c>
    </row>
    <row r="6" spans="2:12" ht="15" thickBot="1">
      <c r="B6" s="6" t="s">
        <v>4</v>
      </c>
      <c r="C6" s="1">
        <v>200</v>
      </c>
      <c r="D6" s="8">
        <v>104544000</v>
      </c>
      <c r="E6" s="8">
        <v>36495685</v>
      </c>
      <c r="F6" s="11">
        <f t="shared" si="0"/>
        <v>0.34909401782981331</v>
      </c>
      <c r="H6" s="14" t="s">
        <v>4</v>
      </c>
      <c r="I6" s="15">
        <v>200</v>
      </c>
      <c r="J6" s="16">
        <f t="shared" si="1"/>
        <v>8928000</v>
      </c>
      <c r="K6" s="16">
        <v>3116514</v>
      </c>
      <c r="L6" s="17">
        <f t="shared" si="2"/>
        <v>0.34907190860215054</v>
      </c>
    </row>
    <row r="7" spans="2:12" ht="15" thickBot="1">
      <c r="B7" s="6" t="s">
        <v>5</v>
      </c>
      <c r="C7" s="1">
        <v>200</v>
      </c>
      <c r="D7" s="8">
        <v>104544000</v>
      </c>
      <c r="E7" s="8">
        <v>37107089</v>
      </c>
      <c r="F7" s="11">
        <f t="shared" si="0"/>
        <v>0.35494231137128862</v>
      </c>
      <c r="H7" s="14" t="s">
        <v>5</v>
      </c>
      <c r="I7" s="15">
        <v>200</v>
      </c>
      <c r="J7" s="16">
        <f t="shared" si="1"/>
        <v>8928000</v>
      </c>
      <c r="K7" s="16">
        <v>3036969</v>
      </c>
      <c r="L7" s="17">
        <f t="shared" si="2"/>
        <v>0.34016229838709677</v>
      </c>
    </row>
    <row r="8" spans="2:12" ht="15" thickBot="1">
      <c r="B8" s="6" t="s">
        <v>6</v>
      </c>
      <c r="C8" s="1">
        <v>200</v>
      </c>
      <c r="D8" s="8">
        <v>104544000</v>
      </c>
      <c r="E8" s="8">
        <v>33083777</v>
      </c>
      <c r="F8" s="11">
        <f t="shared" si="0"/>
        <v>0.31645792202326295</v>
      </c>
      <c r="H8" s="14" t="s">
        <v>6</v>
      </c>
      <c r="I8" s="15">
        <v>200</v>
      </c>
      <c r="J8" s="16">
        <f t="shared" si="1"/>
        <v>8928000</v>
      </c>
      <c r="K8" s="16">
        <v>2854056</v>
      </c>
      <c r="L8" s="17">
        <f t="shared" si="2"/>
        <v>0.31967473118279571</v>
      </c>
    </row>
    <row r="9" spans="2:12" ht="15" thickBot="1">
      <c r="B9" s="6" t="s">
        <v>7</v>
      </c>
      <c r="C9" s="1">
        <v>200</v>
      </c>
      <c r="D9" s="8">
        <v>104544000</v>
      </c>
      <c r="E9" s="8">
        <v>28306062</v>
      </c>
      <c r="F9" s="11">
        <f t="shared" si="0"/>
        <v>0.27075740358126721</v>
      </c>
      <c r="H9" s="14" t="s">
        <v>7</v>
      </c>
      <c r="I9" s="15">
        <v>200</v>
      </c>
      <c r="J9" s="16">
        <f t="shared" si="1"/>
        <v>8928000</v>
      </c>
      <c r="K9" s="16">
        <v>3267457</v>
      </c>
      <c r="L9" s="17">
        <f t="shared" si="2"/>
        <v>0.36597860663082438</v>
      </c>
    </row>
    <row r="10" spans="2:12" ht="15" thickBot="1">
      <c r="B10" s="6" t="s">
        <v>8</v>
      </c>
      <c r="C10" s="1">
        <v>200</v>
      </c>
      <c r="D10" s="8">
        <v>104544000</v>
      </c>
      <c r="E10" s="8">
        <v>42929284</v>
      </c>
      <c r="F10" s="11">
        <f t="shared" si="0"/>
        <v>0.41063364707682892</v>
      </c>
      <c r="H10" s="14" t="s">
        <v>8</v>
      </c>
      <c r="I10" s="15">
        <v>200</v>
      </c>
      <c r="J10" s="16">
        <f t="shared" si="1"/>
        <v>8928000</v>
      </c>
      <c r="K10" s="16">
        <v>3108120</v>
      </c>
      <c r="L10" s="17">
        <f t="shared" si="2"/>
        <v>0.34813172043010754</v>
      </c>
    </row>
    <row r="11" spans="2:12" ht="15" thickBot="1">
      <c r="B11" s="6" t="s">
        <v>9</v>
      </c>
      <c r="C11" s="1">
        <v>160</v>
      </c>
      <c r="D11" s="8">
        <v>83635200</v>
      </c>
      <c r="E11" s="8">
        <v>45775904</v>
      </c>
      <c r="F11" s="11">
        <f t="shared" si="0"/>
        <v>0.54732820630547907</v>
      </c>
      <c r="H11" s="14" t="s">
        <v>9</v>
      </c>
      <c r="I11" s="15">
        <v>160</v>
      </c>
      <c r="J11" s="16">
        <f t="shared" si="1"/>
        <v>7142400</v>
      </c>
      <c r="K11" s="16">
        <v>3317277</v>
      </c>
      <c r="L11" s="17">
        <f t="shared" si="2"/>
        <v>0.4644485047043011</v>
      </c>
    </row>
    <row r="12" spans="2:12" ht="15" thickBot="1">
      <c r="B12" s="6" t="s">
        <v>10</v>
      </c>
      <c r="C12" s="1">
        <v>220</v>
      </c>
      <c r="D12" s="8">
        <v>114998400</v>
      </c>
      <c r="E12" s="8">
        <v>46212568</v>
      </c>
      <c r="F12" s="11">
        <f t="shared" si="0"/>
        <v>0.4018540084035952</v>
      </c>
      <c r="H12" s="14" t="s">
        <v>10</v>
      </c>
      <c r="I12" s="15">
        <v>220</v>
      </c>
      <c r="J12" s="16">
        <f t="shared" si="1"/>
        <v>9820800</v>
      </c>
      <c r="K12" s="16">
        <v>4450920</v>
      </c>
      <c r="L12" s="17">
        <f t="shared" si="2"/>
        <v>0.45321358748778101</v>
      </c>
    </row>
    <row r="13" spans="2:12" ht="15" thickBot="1">
      <c r="B13" s="6" t="s">
        <v>11</v>
      </c>
      <c r="C13" s="1">
        <v>150</v>
      </c>
      <c r="D13" s="8">
        <v>78408000</v>
      </c>
      <c r="E13" s="8">
        <v>38268139</v>
      </c>
      <c r="F13" s="11">
        <f t="shared" si="0"/>
        <v>0.48806421538618511</v>
      </c>
      <c r="H13" s="14" t="s">
        <v>11</v>
      </c>
      <c r="I13" s="15">
        <v>150</v>
      </c>
      <c r="J13" s="16">
        <f t="shared" si="1"/>
        <v>6696000</v>
      </c>
      <c r="K13" s="16">
        <v>1175494</v>
      </c>
      <c r="L13" s="17">
        <f t="shared" si="2"/>
        <v>0.17555167264038232</v>
      </c>
    </row>
    <row r="14" spans="2:12" ht="15" thickBot="1">
      <c r="B14" s="6" t="s">
        <v>12</v>
      </c>
      <c r="C14" s="1">
        <v>160</v>
      </c>
      <c r="D14" s="8">
        <v>83635200</v>
      </c>
      <c r="E14" s="8">
        <v>51753847</v>
      </c>
      <c r="F14" s="11">
        <f t="shared" si="0"/>
        <v>0.61880460619452093</v>
      </c>
      <c r="H14" s="14" t="s">
        <v>12</v>
      </c>
      <c r="I14" s="15">
        <v>160</v>
      </c>
      <c r="J14" s="16">
        <f t="shared" si="1"/>
        <v>7142400</v>
      </c>
      <c r="K14" s="16">
        <v>3673237</v>
      </c>
      <c r="L14" s="17">
        <f t="shared" si="2"/>
        <v>0.5142860943100358</v>
      </c>
    </row>
    <row r="15" spans="2:12" ht="15" thickBot="1">
      <c r="B15" s="6" t="s">
        <v>13</v>
      </c>
      <c r="C15" s="1">
        <v>180</v>
      </c>
      <c r="D15" s="8">
        <v>94089600</v>
      </c>
      <c r="E15" s="8">
        <v>33336802</v>
      </c>
      <c r="F15" s="11">
        <f t="shared" si="0"/>
        <v>0.35430910536339827</v>
      </c>
      <c r="H15" s="14" t="s">
        <v>13</v>
      </c>
      <c r="I15" s="15">
        <v>180</v>
      </c>
      <c r="J15" s="16">
        <f t="shared" si="1"/>
        <v>8035200</v>
      </c>
      <c r="K15" s="16">
        <v>2997923</v>
      </c>
      <c r="L15" s="17">
        <f t="shared" si="2"/>
        <v>0.3730987405416169</v>
      </c>
    </row>
    <row r="16" spans="2:12" ht="15" thickBot="1">
      <c r="B16" s="6" t="s">
        <v>14</v>
      </c>
      <c r="C16" s="1">
        <v>162</v>
      </c>
      <c r="D16" s="8">
        <v>84680640</v>
      </c>
      <c r="E16" s="8">
        <v>39243269</v>
      </c>
      <c r="F16" s="11">
        <f t="shared" si="0"/>
        <v>0.46342669351577881</v>
      </c>
      <c r="H16" s="14" t="s">
        <v>14</v>
      </c>
      <c r="I16" s="15">
        <v>162</v>
      </c>
      <c r="J16" s="16">
        <f t="shared" si="1"/>
        <v>7231680</v>
      </c>
      <c r="K16" s="16">
        <v>3143249</v>
      </c>
      <c r="L16" s="17">
        <f t="shared" si="2"/>
        <v>0.4346499015443161</v>
      </c>
    </row>
    <row r="17" spans="2:12" ht="15" thickBot="1">
      <c r="B17" s="6" t="s">
        <v>15</v>
      </c>
      <c r="C17" s="1">
        <v>160</v>
      </c>
      <c r="D17" s="8">
        <v>83635200</v>
      </c>
      <c r="E17" s="8">
        <v>57242270</v>
      </c>
      <c r="F17" s="11">
        <f t="shared" si="0"/>
        <v>0.68442796812825224</v>
      </c>
      <c r="H17" s="14" t="s">
        <v>15</v>
      </c>
      <c r="I17" s="15">
        <v>160</v>
      </c>
      <c r="J17" s="16">
        <f t="shared" si="1"/>
        <v>7142400</v>
      </c>
      <c r="K17" s="16">
        <v>3667762</v>
      </c>
      <c r="L17" s="17">
        <f t="shared" si="2"/>
        <v>0.51351954525089605</v>
      </c>
    </row>
    <row r="18" spans="2:12" ht="15" thickBot="1">
      <c r="B18" s="6" t="s">
        <v>16</v>
      </c>
      <c r="C18" s="1">
        <v>179</v>
      </c>
      <c r="D18" s="8">
        <v>54902880</v>
      </c>
      <c r="E18" s="8">
        <v>28622341</v>
      </c>
      <c r="F18" s="11">
        <f t="shared" si="0"/>
        <v>0.52132676828610813</v>
      </c>
      <c r="H18" s="14" t="s">
        <v>16</v>
      </c>
      <c r="I18" s="15">
        <v>179</v>
      </c>
      <c r="J18" s="16">
        <f t="shared" si="1"/>
        <v>7990560</v>
      </c>
      <c r="K18" s="16">
        <v>4005215</v>
      </c>
      <c r="L18" s="17">
        <f t="shared" si="2"/>
        <v>0.50124334214372956</v>
      </c>
    </row>
    <row r="19" spans="2:12" ht="15" thickBot="1">
      <c r="B19" s="6" t="s">
        <v>17</v>
      </c>
      <c r="C19" s="1">
        <v>180</v>
      </c>
      <c r="D19" s="8">
        <v>47692800</v>
      </c>
      <c r="E19" s="8">
        <v>28819979</v>
      </c>
      <c r="F19" s="11">
        <f t="shared" si="0"/>
        <v>0.6042836444914117</v>
      </c>
      <c r="H19" s="14" t="s">
        <v>17</v>
      </c>
      <c r="I19" s="15">
        <v>180</v>
      </c>
      <c r="J19" s="16">
        <f t="shared" si="1"/>
        <v>8035200</v>
      </c>
      <c r="K19" s="16">
        <v>3465391</v>
      </c>
      <c r="L19" s="17">
        <f t="shared" si="2"/>
        <v>0.4312762594583831</v>
      </c>
    </row>
    <row r="20" spans="2:12" ht="15" thickBot="1">
      <c r="B20" s="6" t="s">
        <v>18</v>
      </c>
      <c r="C20" s="1">
        <v>180</v>
      </c>
      <c r="D20" s="8">
        <v>47692800</v>
      </c>
      <c r="E20" s="8">
        <v>19603188</v>
      </c>
      <c r="F20" s="11">
        <f t="shared" si="0"/>
        <v>0.41103034420289852</v>
      </c>
      <c r="H20" s="14" t="s">
        <v>18</v>
      </c>
      <c r="I20" s="15">
        <v>180</v>
      </c>
      <c r="J20" s="16">
        <f t="shared" si="1"/>
        <v>8035200</v>
      </c>
      <c r="K20" s="16">
        <v>3343789</v>
      </c>
      <c r="L20" s="17">
        <f t="shared" si="2"/>
        <v>0.41614259757068894</v>
      </c>
    </row>
    <row r="21" spans="2:12" ht="15" thickBot="1">
      <c r="B21" s="6" t="s">
        <v>19</v>
      </c>
      <c r="C21" s="1">
        <v>180</v>
      </c>
      <c r="D21" s="8">
        <v>39657600</v>
      </c>
      <c r="E21" s="8">
        <v>19986942</v>
      </c>
      <c r="F21" s="11">
        <f t="shared" si="0"/>
        <v>0.50398768458000487</v>
      </c>
      <c r="H21" s="14" t="s">
        <v>19</v>
      </c>
      <c r="I21" s="15">
        <v>180</v>
      </c>
      <c r="J21" s="16">
        <f t="shared" si="1"/>
        <v>8035200</v>
      </c>
      <c r="K21" s="16">
        <v>2997421</v>
      </c>
      <c r="L21" s="17">
        <f t="shared" si="2"/>
        <v>0.37303626543209878</v>
      </c>
    </row>
    <row r="22" spans="2:12" ht="15" thickBot="1">
      <c r="B22" s="6" t="s">
        <v>21</v>
      </c>
      <c r="C22" s="1"/>
      <c r="D22" s="10">
        <v>1649380320</v>
      </c>
      <c r="E22" s="10">
        <v>688666765</v>
      </c>
      <c r="F22" s="11">
        <f t="shared" si="0"/>
        <v>0.41753060628248556</v>
      </c>
      <c r="H22" s="14" t="s">
        <v>40</v>
      </c>
      <c r="I22" s="15">
        <v>160</v>
      </c>
      <c r="J22" s="16">
        <f t="shared" si="1"/>
        <v>7142400</v>
      </c>
      <c r="K22" s="16">
        <v>29634</v>
      </c>
      <c r="L22" s="17">
        <f t="shared" ref="L22:L26" si="3">K22/J22</f>
        <v>4.149025537634409E-3</v>
      </c>
    </row>
    <row r="23" spans="2:12" ht="15" thickBot="1">
      <c r="H23" s="14" t="s">
        <v>41</v>
      </c>
      <c r="I23" s="15">
        <v>180</v>
      </c>
      <c r="J23" s="16">
        <f t="shared" si="1"/>
        <v>8035200</v>
      </c>
      <c r="K23" s="16">
        <v>2953610</v>
      </c>
      <c r="L23" s="17">
        <f t="shared" si="3"/>
        <v>0.36758388092393468</v>
      </c>
    </row>
    <row r="24" spans="2:12" ht="15" thickBot="1">
      <c r="H24" s="14" t="s">
        <v>42</v>
      </c>
      <c r="I24" s="15">
        <v>160</v>
      </c>
      <c r="J24" s="16">
        <f t="shared" si="1"/>
        <v>7142400</v>
      </c>
      <c r="K24" s="16">
        <v>2622627</v>
      </c>
      <c r="L24" s="17">
        <f t="shared" si="3"/>
        <v>0.36719128024193548</v>
      </c>
    </row>
    <row r="25" spans="2:12" ht="15" thickBot="1">
      <c r="H25" s="14" t="s">
        <v>43</v>
      </c>
      <c r="I25" s="15">
        <v>180</v>
      </c>
      <c r="J25" s="16">
        <f t="shared" si="1"/>
        <v>8035200</v>
      </c>
      <c r="K25" s="16">
        <v>3484953</v>
      </c>
      <c r="L25" s="17">
        <f t="shared" si="3"/>
        <v>0.43371079749103941</v>
      </c>
    </row>
    <row r="26" spans="2:12" ht="15" thickBot="1">
      <c r="H26" s="26" t="s">
        <v>21</v>
      </c>
      <c r="I26" s="27"/>
      <c r="J26" s="18">
        <f>SUM(J3:J25)</f>
        <v>187086240</v>
      </c>
      <c r="K26" s="18">
        <f>SUM(K3:K25)</f>
        <v>70490852</v>
      </c>
      <c r="L26" s="19">
        <f t="shared" si="3"/>
        <v>0.37678266450808995</v>
      </c>
    </row>
  </sheetData>
  <mergeCells count="2">
    <mergeCell ref="H1:L1"/>
    <mergeCell ref="H26:I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Макс.</vt:lpstr>
      <vt:lpstr>Раб.</vt:lpstr>
      <vt:lpstr>Лист2</vt:lpstr>
      <vt:lpstr>Лист1</vt:lpstr>
      <vt:lpstr>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M313</cp:lastModifiedBy>
  <dcterms:created xsi:type="dcterms:W3CDTF">2025-07-07T10:55:17Z</dcterms:created>
  <dcterms:modified xsi:type="dcterms:W3CDTF">2025-10-08T10:47:52Z</dcterms:modified>
</cp:coreProperties>
</file>