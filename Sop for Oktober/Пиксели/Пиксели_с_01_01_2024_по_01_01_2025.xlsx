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313\Desktop\Python_project_SAG\Sop for Oktober\Пиксели\"/>
    </mc:Choice>
  </mc:AlternateContent>
  <xr:revisionPtr revIDLastSave="0" documentId="13_ncr:1_{5F052C40-8376-40F1-BCAF-8482901527BD}" xr6:coauthVersionLast="47" xr6:coauthVersionMax="47" xr10:uidLastSave="{00000000-0000-0000-0000-000000000000}"/>
  <bookViews>
    <workbookView xWindow="-108" yWindow="-108" windowWidth="23256" windowHeight="12456" tabRatio="795" activeTab="1" xr2:uid="{670FC601-1BAF-41E1-B948-FBAE55E7AEE8}"/>
  </bookViews>
  <sheets>
    <sheet name="Факт_пикс_antp" sheetId="4" r:id="rId1"/>
    <sheet name="Факт_пикс_xiva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2" i="13" l="1"/>
</calcChain>
</file>

<file path=xl/sharedStrings.xml><?xml version="1.0" encoding="utf-8"?>
<sst xmlns="http://schemas.openxmlformats.org/spreadsheetml/2006/main" count="131" uniqueCount="75">
  <si>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</si>
  <si>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</si>
  <si>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</si>
  <si>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</si>
  <si>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</si>
  <si>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</si>
  <si>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</si>
  <si>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</si>
  <si>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</si>
  <si>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</si>
  <si>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</si>
  <si>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</si>
  <si>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</si>
  <si>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</si>
  <si>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</si>
  <si>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</si>
  <si>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</si>
  <si>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</si>
  <si>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</si>
  <si>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</si>
  <si>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</si>
  <si>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</si>
  <si>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</si>
  <si>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</si>
  <si>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</si>
  <si>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</si>
  <si>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</si>
  <si>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</si>
  <si>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</si>
  <si>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</si>
  <si>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</si>
  <si>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</si>
  <si>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</si>
  <si>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</si>
  <si>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</si>
  <si>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янв.24</t>
  </si>
  <si>
    <t>янв.25</t>
  </si>
  <si>
    <t>фев.24</t>
  </si>
  <si>
    <t>мар.24</t>
  </si>
  <si>
    <t>апр.24</t>
  </si>
  <si>
    <t>май.24</t>
  </si>
  <si>
    <t>июн.24</t>
  </si>
  <si>
    <t>июл.24</t>
  </si>
  <si>
    <t>авг.24</t>
  </si>
  <si>
    <t>сен.24</t>
  </si>
  <si>
    <t>окт.24</t>
  </si>
  <si>
    <t>ноя.24</t>
  </si>
  <si>
    <t>дек.24</t>
  </si>
  <si>
    <t>фев.25</t>
  </si>
  <si>
    <t>мар.25</t>
  </si>
  <si>
    <t>апр.25</t>
  </si>
  <si>
    <t>май.25</t>
  </si>
  <si>
    <t>июн.25</t>
  </si>
  <si>
    <t>июл.25</t>
  </si>
  <si>
    <t>авг.25</t>
  </si>
  <si>
    <t>сен.25</t>
  </si>
  <si>
    <t>Столбец1</t>
  </si>
  <si>
    <t>Май</t>
  </si>
  <si>
    <t>2024 г</t>
  </si>
  <si>
    <t>По одинаковым колл-во станков</t>
  </si>
  <si>
    <t>Янв</t>
  </si>
  <si>
    <t>Фев</t>
  </si>
  <si>
    <t>Мар</t>
  </si>
  <si>
    <t>Апр</t>
  </si>
  <si>
    <t>Июн</t>
  </si>
  <si>
    <t>Июл</t>
  </si>
  <si>
    <t>Авг</t>
  </si>
  <si>
    <t>Сен</t>
  </si>
  <si>
    <t>Окт</t>
  </si>
  <si>
    <t>Ноя</t>
  </si>
  <si>
    <t>Дек</t>
  </si>
  <si>
    <t>Название станка</t>
  </si>
  <si>
    <t>Раб</t>
  </si>
  <si>
    <t>Всего</t>
  </si>
  <si>
    <t>2025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</si>
</sst>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_-* #,##0.00\ _₽_-;\-* #,##0.00\ _₽_-;_-* &quot;-&quot;??\ _₽_-;_-@_-"/>
    <numFmt numFmtId="165" formatCode="_-* #,##0_-;\-* #,##0_-;_-* &quot;-&quot;??_-;_-@_-"/>
    <numFmt numFmtId="169" formatCode="_-* #,##0.00_-;\-* #,##0.00_-;_-* &quot;-&quot;??_-;_-@_-"/>
  </numFmts>
  <fonts count="6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24"/>
      <color theme="1"/>
      <name val="72 Black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2" fillId="0" borderId="0" applyFont="0" applyFill="0" applyBorder="0" applyAlignment="0" applyProtection="0"/>
  </cellStyleXfs>
  <cellXfs count="16">
    <xf numFmtId="0" fontId="0" fillId="0" borderId="0" xfId="0"/>
    <xf numFmtId="0" fontId="3" fillId="0" borderId="1" xfId="0" applyFont="1" applyBorder="1"/>
    <xf numFmtId="165" fontId="0" fillId="0" borderId="0" xfId="1" applyNumberFormat="1" applyFont="1"/>
    <xf numFmtId="0" fontId="3" fillId="0" borderId="2" xfId="0" applyFont="1" applyBorder="1"/>
    <xf numFmtId="165" fontId="2" fillId="0" borderId="0" xfId="0" applyNumberFormat="1" applyFont="1"/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165" fontId="0" fillId="0" borderId="1" xfId="45" applyNumberFormat="1" applyFont="1" applyBorder="1" applyAlignment="1">
      <alignment horizontal="center" vertical="center"/>
    </xf>
    <xf numFmtId="165" fontId="1" fillId="0" borderId="1" xfId="0" applyNumberFormat="1" applyFont="1" applyBorder="1"/>
    <xf numFmtId="165" fontId="0" fillId="3" borderId="1" xfId="45" applyNumberFormat="1" applyFont="1" applyFill="1" applyBorder="1" applyAlignment="1">
      <alignment horizontal="center" vertical="center"/>
    </xf>
    <xf numFmtId="165" fontId="0" fillId="0" borderId="1" xfId="45" applyNumberFormat="1" applyFont="1" applyFill="1" applyBorder="1" applyAlignment="1">
      <alignment horizontal="center" vertical="center"/>
    </xf>
    <xf numFmtId="165" fontId="0" fillId="0" borderId="3" xfId="45" applyNumberFormat="1" applyFont="1" applyFill="1" applyBorder="1" applyAlignment="1">
      <alignment horizontal="center" vertical="center"/>
    </xf>
  </cellXfs>
  <cellStyles count="46">
    <cellStyle name="Обычный" xfId="0" builtinId="0"/>
    <cellStyle name="Финансовый" xfId="1" builtinId="3"/>
    <cellStyle name="Финансовый 10" xfId="9" xr:uid="{0CC652DE-41C1-4559-8258-49A4B6DEBCA0}"/>
    <cellStyle name="Финансовый 11" xfId="45" xr:uid="{AB1F27C2-A277-4395-A816-2C8053478D03}"/>
    <cellStyle name="Финансовый 2" xfId="3" xr:uid="{C988AD7A-70FE-48A2-BA92-73B2FB5251DC}"/>
    <cellStyle name="Финансовый 3" xfId="2" xr:uid="{21CE28B0-A977-4680-AF9E-89C32C6F5FD5}"/>
    <cellStyle name="Финансовый 3 2" xfId="6" xr:uid="{6FFF4614-5588-4EBF-8593-CC232E24D651}"/>
    <cellStyle name="Финансовый 3 2 2" xfId="13" xr:uid="{A76C6BAA-C95F-4039-8CEC-AEC0C1D13915}"/>
    <cellStyle name="Финансовый 3 2 2 2" xfId="34" xr:uid="{90C2E474-8A45-49C8-AC53-4129868A1CE8}"/>
    <cellStyle name="Финансовый 3 2 3" xfId="20" xr:uid="{EFE3D1E7-5B00-466A-93DA-884746A8525A}"/>
    <cellStyle name="Финансовый 3 2 3 2" xfId="41" xr:uid="{6840DD7F-A85F-40A3-A269-63506CE20AE9}"/>
    <cellStyle name="Финансовый 3 2 4" xfId="27" xr:uid="{5022FC6A-F0D4-4DDD-B970-EBBFA3AA8F23}"/>
    <cellStyle name="Финансовый 3 3" xfId="10" xr:uid="{84C2D650-D753-4F49-B78F-25A909D3EF8B}"/>
    <cellStyle name="Финансовый 3 3 2" xfId="31" xr:uid="{B1673B22-4E42-4C96-AEF8-F6F6529DF4B3}"/>
    <cellStyle name="Финансовый 3 4" xfId="17" xr:uid="{2A9FBEB1-9063-4145-8F2F-AEE1B88FA830}"/>
    <cellStyle name="Финансовый 3 4 2" xfId="38" xr:uid="{FEF0789B-04ED-4A69-85DE-A335EA4CB6C0}"/>
    <cellStyle name="Финансовый 3 5" xfId="24" xr:uid="{C69F8C18-6366-4F7C-A809-14331F2D6A47}"/>
    <cellStyle name="Финансовый 4" xfId="4" xr:uid="{0BD6B0D8-A64A-4483-8274-8F2D391372CF}"/>
    <cellStyle name="Финансовый 4 2" xfId="7" xr:uid="{B60C230D-C424-48B0-B882-14614B86FF60}"/>
    <cellStyle name="Финансовый 4 2 2" xfId="14" xr:uid="{8C04FE80-8B80-4B5D-A8DC-3CB9D4F29B0F}"/>
    <cellStyle name="Финансовый 4 2 2 2" xfId="35" xr:uid="{16A2BBF6-EE56-4017-A61B-4F64F6B41876}"/>
    <cellStyle name="Финансовый 4 2 3" xfId="21" xr:uid="{E8A09883-A1D5-4F99-B4FC-3A755C5ED04B}"/>
    <cellStyle name="Финансовый 4 2 3 2" xfId="42" xr:uid="{E000892D-FD97-4F9F-875E-195BAEA82C12}"/>
    <cellStyle name="Финансовый 4 2 4" xfId="28" xr:uid="{1EDEEDBB-9C8C-4D87-8A9B-12AA5AA194E4}"/>
    <cellStyle name="Финансовый 4 3" xfId="11" xr:uid="{E21E718F-4F8C-4B4C-8BE2-831637586DBC}"/>
    <cellStyle name="Финансовый 4 3 2" xfId="32" xr:uid="{931A1904-7C5A-465F-B071-5D9DC7CF7E9F}"/>
    <cellStyle name="Финансовый 4 4" xfId="18" xr:uid="{C9D01F31-75AC-4E57-A2E0-EAAAFD76AC80}"/>
    <cellStyle name="Финансовый 4 4 2" xfId="39" xr:uid="{16B77F52-265E-47A8-A129-A3EBF87B3628}"/>
    <cellStyle name="Финансовый 4 5" xfId="25" xr:uid="{8E8210E2-3A5E-4DD6-8CFC-19D236C95EF2}"/>
    <cellStyle name="Финансовый 5" xfId="5" xr:uid="{A793C935-667A-420E-95B9-183062EED7A0}"/>
    <cellStyle name="Финансовый 5 2" xfId="12" xr:uid="{4003193B-5B97-4AD8-9B93-CCAD2E445316}"/>
    <cellStyle name="Финансовый 5 2 2" xfId="33" xr:uid="{0E5C30C4-B7D2-4CEE-A803-16BBA1662468}"/>
    <cellStyle name="Финансовый 5 3" xfId="19" xr:uid="{2FBFA2A0-A5C3-4162-8621-7D054B98D3ED}"/>
    <cellStyle name="Финансовый 5 3 2" xfId="40" xr:uid="{7114E852-C7EF-4D09-87B2-12BF4755C2B7}"/>
    <cellStyle name="Финансовый 5 4" xfId="26" xr:uid="{81EFF1F2-5B8F-413E-8D23-647C9CD3BDB9}"/>
    <cellStyle name="Финансовый 6" xfId="8" xr:uid="{91FBF9E7-3DE1-4F53-BCF4-D1852FB19060}"/>
    <cellStyle name="Финансовый 6 2" xfId="15" xr:uid="{C5C8B0A1-64EA-49C4-85F6-2A22A0B4AC32}"/>
    <cellStyle name="Финансовый 6 2 2" xfId="36" xr:uid="{D4DBC757-35F8-43A1-84DB-A6E188E1B67F}"/>
    <cellStyle name="Финансовый 6 3" xfId="22" xr:uid="{F07B09FD-56FA-4E19-AC35-7AE006697790}"/>
    <cellStyle name="Финансовый 6 3 2" xfId="43" xr:uid="{F0342BD5-FF74-4EEC-86F3-3E273685CB6F}"/>
    <cellStyle name="Финансовый 6 4" xfId="29" xr:uid="{BE5EC852-8580-410E-ABD3-7ECF548AC243}"/>
    <cellStyle name="Финансовый 7" xfId="16" xr:uid="{82233F71-458C-4291-9292-1A0867300B8B}"/>
    <cellStyle name="Финансовый 7 2" xfId="37" xr:uid="{A64F329E-C67B-429B-A798-1638B3D6C2B9}"/>
    <cellStyle name="Финансовый 8" xfId="23" xr:uid="{DCAF0DEC-6A82-4B24-B86D-C14EB6FE1756}"/>
    <cellStyle name="Финансовый 8 2" xfId="44" xr:uid="{346FD3DC-6CE9-400E-965C-F101C58835EF}"/>
    <cellStyle name="Финансовый 9" xfId="30" xr:uid="{8ED0456E-2930-4F5F-B16F-E8A28CAE75FB}"/>
  </cellStyles>
  <dxfs count="53">
    <dxf>
      <fill>
        <patternFill patternType="solid">
          <fgColor rgb="FFD9E1F2"/>
          <bgColor rgb="FFD9E1F2"/>
        </patternFill>
      </fill>
    </dxf>
    <dxf>
      <fill>
        <patternFill patternType="solid">
          <fgColor rgb="FFD9E1F2"/>
          <bgColor rgb="FFD9E1F2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472C4"/>
        </top>
      </border>
    </dxf>
    <dxf>
      <font>
        <b/>
        <color rgb="FFFFFFFF"/>
      </font>
      <fill>
        <patternFill patternType="solid">
          <fgColor rgb="FF4472C4"/>
          <bgColor rgb="FF4472C4"/>
        </patternFill>
      </fill>
    </dxf>
    <dxf>
      <font>
        <color rgb="FF000000"/>
      </font>
      <border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  <horizontal style="thin">
          <color rgb="FF8EA9DB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charset val="204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alignment horizontal="general" vertical="center" textRotation="0" wrapText="0" indent="0" justifyLastLine="0" shrinkToFit="0" readingOrder="0"/>
    </dxf>
  </dxfs>
  <tableStyles count="1" defaultTableStyle="TableStyleMedium2" defaultPivotStyle="PivotStyleLight16">
    <tableStyle name="TableStyleMedium2 2" pivot="0" count="7" xr9:uid="{79751824-0099-4C48-93FB-8202DC57729E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0066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E6E319-F47F-4E46-BF2E-D74E3F0536B2}" name="Таблица1" displayName="Таблица1" ref="A1:V37" totalsRowCount="1" headerRowDxfId="52" dataDxfId="51" dataCellStyle="Финансовый">
  <autoFilter ref="A1:V36" xr:uid="{6CE6E319-F47F-4E46-BF2E-D74E3F0536B2}"/>
  <tableColumns count="22">
    <tableColumn id="1" xr3:uid="{F7BA6E45-5C19-4744-BACE-830BCC5EE3F1}" name="Столбец1" dataDxfId="50" totalsRowDxfId="49"/>
    <tableColumn id="2" xr3:uid="{88A8D915-7600-47FB-A1B1-F8894FDAB0EB}" name="янв.24" totalsRowFunction="sum" dataDxfId="48" totalsRowDxfId="47" dataCellStyle="Финансовый" totalsRowCellStyle="Финансовый"/>
    <tableColumn id="3" xr3:uid="{4A1C1491-7D38-4739-AC4F-F8395DB4B7FF}" name="фев.24" totalsRowFunction="sum" dataDxfId="46" totalsRowDxfId="45" dataCellStyle="Финансовый" totalsRowCellStyle="Финансовый"/>
    <tableColumn id="4" xr3:uid="{4A291BC8-EEB3-483F-974A-A0B402B39AAD}" name="мар.24" totalsRowFunction="sum" dataDxfId="44" totalsRowDxfId="43" dataCellStyle="Финансовый" totalsRowCellStyle="Финансовый"/>
    <tableColumn id="5" xr3:uid="{A778CFDE-5889-4C92-947E-C3687CC4F503}" name="апр.24" totalsRowFunction="sum" dataDxfId="42" totalsRowDxfId="41" dataCellStyle="Финансовый" totalsRowCellStyle="Финансовый"/>
    <tableColumn id="6" xr3:uid="{79743AC8-0DFF-4E2F-9936-DF7A8D903303}" name="май.24" totalsRowFunction="sum" dataDxfId="40" totalsRowDxfId="39" dataCellStyle="Финансовый" totalsRowCellStyle="Финансовый"/>
    <tableColumn id="7" xr3:uid="{DF25BCE2-AA21-4D77-8276-790F6359C52C}" name="июн.24" totalsRowFunction="sum" dataDxfId="38" totalsRowDxfId="37" dataCellStyle="Финансовый" totalsRowCellStyle="Финансовый"/>
    <tableColumn id="8" xr3:uid="{0954622A-C0CF-4CA7-A8BC-D2EB4160427A}" name="июл.24" totalsRowFunction="sum" dataDxfId="36" totalsRowDxfId="35" dataCellStyle="Финансовый" totalsRowCellStyle="Финансовый"/>
    <tableColumn id="9" xr3:uid="{F2DDB194-7E0C-40B4-8F73-D0086215C51B}" name="авг.24" totalsRowFunction="sum" dataDxfId="34" totalsRowDxfId="33" dataCellStyle="Финансовый" totalsRowCellStyle="Финансовый"/>
    <tableColumn id="10" xr3:uid="{E4BCF914-5544-48D2-B050-E3587A9AEED1}" name="сен.24" totalsRowFunction="sum" dataDxfId="32" totalsRowDxfId="31" dataCellStyle="Финансовый" totalsRowCellStyle="Финансовый"/>
    <tableColumn id="11" xr3:uid="{149930C7-FF46-4C49-BBD1-39D75E65CC07}" name="окт.24" totalsRowFunction="sum" dataDxfId="30" totalsRowDxfId="29" dataCellStyle="Финансовый" totalsRowCellStyle="Финансовый"/>
    <tableColumn id="12" xr3:uid="{7DD8EDEC-6027-4126-B4B3-0C995B1337C7}" name="ноя.24" totalsRowFunction="sum" dataDxfId="28" totalsRowDxfId="27" dataCellStyle="Финансовый" totalsRowCellStyle="Финансовый"/>
    <tableColumn id="13" xr3:uid="{B6ACE401-49EB-4911-B2A5-8DFAA3D835E6}" name="дек.24" totalsRowFunction="sum" dataDxfId="26" totalsRowDxfId="25" dataCellStyle="Финансовый" totalsRowCellStyle="Финансовый"/>
    <tableColumn id="14" xr3:uid="{2CCF3327-41B6-4A1C-8AFA-1526163A0BF0}" name="янв.25" totalsRowFunction="sum" dataDxfId="24" totalsRowDxfId="23" dataCellStyle="Финансовый" totalsRowCellStyle="Финансовый"/>
    <tableColumn id="15" xr3:uid="{99CCDB99-CFB3-4315-AAB4-E243BB6808EC}" name="фев.25" totalsRowFunction="sum" dataDxfId="22" totalsRowDxfId="21" dataCellStyle="Финансовый" totalsRowCellStyle="Финансовый"/>
    <tableColumn id="16" xr3:uid="{9DF78FE6-C2CB-4A92-84C5-1C91CF9EAC3E}" name="мар.25" totalsRowFunction="sum" dataDxfId="20" totalsRowDxfId="19" dataCellStyle="Финансовый" totalsRowCellStyle="Финансовый"/>
    <tableColumn id="17" xr3:uid="{3C999940-A8C4-4838-9070-2106E9E7C04B}" name="апр.25" totalsRowFunction="sum" dataDxfId="18" totalsRowDxfId="17" dataCellStyle="Финансовый" totalsRowCellStyle="Финансовый"/>
    <tableColumn id="18" xr3:uid="{795908C9-1CC7-417F-97DF-061F52522DBE}" name="май.25" totalsRowFunction="sum" dataDxfId="16" totalsRowDxfId="15" dataCellStyle="Финансовый" totalsRowCellStyle="Финансовый"/>
    <tableColumn id="19" xr3:uid="{1DFCC0E2-D3CD-414A-BB8F-4072F59F82DC}" name="июн.25" totalsRowFunction="sum" dataDxfId="14" totalsRowDxfId="13" dataCellStyle="Финансовый" totalsRowCellStyle="Финансовый"/>
    <tableColumn id="20" xr3:uid="{A1EB61DC-B159-40BC-99F6-662292AD8B2D}" name="июл.25" totalsRowFunction="sum" dataDxfId="12" totalsRowDxfId="11" dataCellStyle="Финансовый" totalsRowCellStyle="Финансовый"/>
    <tableColumn id="21" xr3:uid="{276A0F35-8C51-4254-8A90-71D5AC435220}" name="авг.25" totalsRowFunction="sum" dataDxfId="10" totalsRowDxfId="9" dataCellStyle="Финансовый" totalsRowCellStyle="Финансовый"/>
    <tableColumn id="22" xr3:uid="{E04A04D6-62EA-477A-8A3D-13A0F9F66437}" name="сен.25" totalsRowFunction="sum" dataDxfId="8" totalsRowDxfId="7" dataCellStyle="Финансовый" totalsRowCellStyle="Финансовы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B8EBD-FF9C-4213-9563-2EAA41F59183}">
  <dimension ref="A1:X37"/>
  <sheetViews>
    <sheetView zoomScale="55" zoomScaleNormal="55" workbookViewId="0">
      <selection activeCell="F1" sqref="F1"/>
    </sheetView>
  </sheetViews>
  <sheetFormatPr defaultRowHeight="14.4"/>
  <cols>
    <col min="1" max="1" width="11.5546875" customWidth="1"/>
    <col min="2" max="13" width="13.77734375" bestFit="1" customWidth="1"/>
    <col min="14" max="14" width="13.33203125" bestFit="1" customWidth="1"/>
    <col min="15" max="15" width="12.21875" bestFit="1" customWidth="1"/>
    <col min="16" max="18" width="13.33203125" bestFit="1" customWidth="1"/>
    <col min="19" max="19" width="12.21875" bestFit="1" customWidth="1"/>
    <col min="20" max="22" width="13.33203125" bestFit="1" customWidth="1"/>
    <col min="24" max="24" width="13.33203125" bestFit="1" customWidth="1"/>
  </cols>
  <sheetData>
    <row r="1" spans="1:24" ht="34.200000000000003" customHeight="1">
      <c r="A1" s="5" t="s">
        <v>56</v>
      </c>
      <c r="B1" s="5" t="s">
        <v>35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41</v>
      </c>
      <c r="H1" s="5" t="s">
        <v>42</v>
      </c>
      <c r="I1" s="5" t="s">
        <v>43</v>
      </c>
      <c r="J1" s="5" t="s">
        <v>44</v>
      </c>
      <c r="K1" s="5" t="s">
        <v>45</v>
      </c>
      <c r="L1" s="5" t="s">
        <v>46</v>
      </c>
      <c r="M1" s="5" t="s">
        <v>47</v>
      </c>
      <c r="N1" s="5" t="s">
        <v>36</v>
      </c>
      <c r="O1" s="5" t="s">
        <v>48</v>
      </c>
      <c r="P1" s="5" t="s">
        <v>49</v>
      </c>
      <c r="Q1" s="5" t="s">
        <v>50</v>
      </c>
      <c r="R1" s="5" t="s">
        <v>51</v>
      </c>
      <c r="S1" s="5" t="s">
        <v>52</v>
      </c>
      <c r="T1" s="5" t="s">
        <v>53</v>
      </c>
      <c r="U1" s="5" t="s">
        <v>54</v>
      </c>
      <c r="V1" s="5" t="s">
        <v>55</v>
      </c>
      <c r="X1" s="2"/>
    </row>
    <row r="2" spans="1:24" ht="18">
      <c r="A2" s="1" t="s">
        <v>0</v>
      </c>
      <c r="B2" s="2">
        <v>3211482</v>
      </c>
      <c r="C2" s="2">
        <v>3622249</v>
      </c>
      <c r="D2" s="2">
        <v>3607767</v>
      </c>
      <c r="E2" s="2">
        <v>2609963</v>
      </c>
      <c r="F2" s="2">
        <v>4214406</v>
      </c>
      <c r="G2" s="2">
        <v>3288557</v>
      </c>
      <c r="H2" s="2">
        <v>3512853</v>
      </c>
      <c r="I2" s="2">
        <v>3431663</v>
      </c>
      <c r="J2" s="2">
        <v>4253228</v>
      </c>
      <c r="K2" s="2">
        <v>4551574</v>
      </c>
      <c r="L2" s="2">
        <v>4714946</v>
      </c>
      <c r="M2" s="2">
        <v>4205914</v>
      </c>
      <c r="N2" s="2">
        <v>3638140</v>
      </c>
      <c r="O2" s="2">
        <v>2178814</v>
      </c>
      <c r="P2" s="2">
        <v>3526273</v>
      </c>
      <c r="Q2" s="2">
        <v>2986530</v>
      </c>
      <c r="R2" s="2">
        <v>3188944</v>
      </c>
      <c r="S2" s="2">
        <v>3171858</v>
      </c>
      <c r="T2" s="2">
        <v>3269159</v>
      </c>
      <c r="U2" s="2">
        <v>2994989</v>
      </c>
      <c r="V2" s="2">
        <v>3106641</v>
      </c>
    </row>
    <row r="3" spans="1:24" ht="18">
      <c r="A3" s="1" t="s">
        <v>1</v>
      </c>
      <c r="B3" s="2">
        <v>2549945</v>
      </c>
      <c r="C3" s="2">
        <v>3873018</v>
      </c>
      <c r="D3" s="2">
        <v>4256433</v>
      </c>
      <c r="E3" s="2">
        <v>3923425</v>
      </c>
      <c r="F3" s="2">
        <v>4367200</v>
      </c>
      <c r="G3" s="2">
        <v>3569699</v>
      </c>
      <c r="H3" s="2">
        <v>4386609</v>
      </c>
      <c r="I3" s="2">
        <v>3818821</v>
      </c>
      <c r="J3" s="2">
        <v>4506454</v>
      </c>
      <c r="K3" s="2">
        <v>4843700</v>
      </c>
      <c r="L3" s="2">
        <v>4387950</v>
      </c>
      <c r="M3" s="2">
        <v>4439728</v>
      </c>
      <c r="N3" s="2">
        <v>4088212</v>
      </c>
      <c r="O3" s="2">
        <v>4023094</v>
      </c>
      <c r="P3" s="2">
        <v>4911652</v>
      </c>
      <c r="Q3" s="2">
        <v>5026052</v>
      </c>
      <c r="R3" s="2">
        <v>875166</v>
      </c>
      <c r="S3" s="2">
        <v>3436554</v>
      </c>
      <c r="T3" s="2">
        <v>3981170</v>
      </c>
      <c r="U3" s="2">
        <v>3919588</v>
      </c>
      <c r="V3" s="2">
        <v>4091643</v>
      </c>
    </row>
    <row r="4" spans="1:24" ht="18">
      <c r="A4" s="1" t="s">
        <v>2</v>
      </c>
      <c r="B4" s="2">
        <v>4012310</v>
      </c>
      <c r="C4" s="2">
        <v>2555918</v>
      </c>
      <c r="D4" s="2">
        <v>3851543</v>
      </c>
      <c r="E4" s="2">
        <v>3810322</v>
      </c>
      <c r="F4" s="2">
        <v>3992372</v>
      </c>
      <c r="G4" s="2">
        <v>3999812</v>
      </c>
      <c r="H4" s="2">
        <v>3352882</v>
      </c>
      <c r="I4" s="2">
        <v>3496498</v>
      </c>
      <c r="J4" s="2">
        <v>3597918</v>
      </c>
      <c r="K4" s="2">
        <v>3917880</v>
      </c>
      <c r="L4" s="2">
        <v>3120901</v>
      </c>
      <c r="M4" s="2">
        <v>4231283</v>
      </c>
      <c r="N4" s="2">
        <v>4371364</v>
      </c>
      <c r="O4" s="2">
        <v>3395310</v>
      </c>
      <c r="P4" s="2">
        <v>3816018</v>
      </c>
      <c r="Q4" s="2">
        <v>3646735</v>
      </c>
      <c r="R4" s="2">
        <v>4374264</v>
      </c>
      <c r="S4" s="2">
        <v>3119345</v>
      </c>
      <c r="T4" s="2">
        <v>3279726</v>
      </c>
      <c r="U4" s="2">
        <v>3579731</v>
      </c>
      <c r="V4" s="2">
        <v>3193567</v>
      </c>
    </row>
    <row r="5" spans="1:24" ht="18">
      <c r="A5" s="1" t="s">
        <v>3</v>
      </c>
      <c r="B5" s="2">
        <v>2630935</v>
      </c>
      <c r="C5" s="2">
        <v>2542550</v>
      </c>
      <c r="D5" s="2">
        <v>2745221</v>
      </c>
      <c r="E5" s="2">
        <v>2152135</v>
      </c>
      <c r="F5" s="2">
        <v>1155264</v>
      </c>
      <c r="G5" s="2">
        <v>2425633</v>
      </c>
      <c r="H5" s="2">
        <v>2637422</v>
      </c>
      <c r="I5" s="2">
        <v>2439341</v>
      </c>
      <c r="J5" s="2">
        <v>2483410</v>
      </c>
      <c r="K5" s="2">
        <v>2566687</v>
      </c>
      <c r="L5" s="2">
        <v>2277717</v>
      </c>
      <c r="M5" s="2">
        <v>79625</v>
      </c>
      <c r="N5" s="2">
        <v>1508247</v>
      </c>
      <c r="O5" s="2">
        <v>2271054</v>
      </c>
      <c r="P5" s="2">
        <v>2226309</v>
      </c>
      <c r="Q5" s="2">
        <v>2312360</v>
      </c>
      <c r="R5" s="2">
        <v>2520100</v>
      </c>
      <c r="S5" s="2">
        <v>2292125</v>
      </c>
      <c r="T5" s="2">
        <v>2357311</v>
      </c>
      <c r="U5" s="2">
        <v>2465767</v>
      </c>
      <c r="V5" s="2">
        <v>2369842</v>
      </c>
    </row>
    <row r="6" spans="1:24" ht="18">
      <c r="A6" s="1" t="s">
        <v>4</v>
      </c>
      <c r="B6" s="2">
        <v>3217110</v>
      </c>
      <c r="C6" s="2">
        <v>2811540</v>
      </c>
      <c r="D6" s="2">
        <v>2890772</v>
      </c>
      <c r="E6" s="2">
        <v>3164519</v>
      </c>
      <c r="F6" s="2">
        <v>3045787</v>
      </c>
      <c r="G6" s="2">
        <v>2354323</v>
      </c>
      <c r="H6" s="2">
        <v>3025983</v>
      </c>
      <c r="I6" s="2">
        <v>3373938</v>
      </c>
      <c r="J6" s="2">
        <v>3477040</v>
      </c>
      <c r="K6" s="2">
        <v>3695230</v>
      </c>
      <c r="L6" s="2">
        <v>4036150</v>
      </c>
      <c r="M6" s="2">
        <v>3540103</v>
      </c>
      <c r="N6" s="2">
        <v>2781071</v>
      </c>
      <c r="O6" s="2">
        <v>2085827</v>
      </c>
      <c r="P6" s="2">
        <v>2615107</v>
      </c>
      <c r="Q6" s="2">
        <v>2552994</v>
      </c>
      <c r="R6" s="2">
        <v>2932147</v>
      </c>
      <c r="S6" s="2">
        <v>2513807</v>
      </c>
      <c r="T6" s="2">
        <v>2709600</v>
      </c>
      <c r="U6" s="2">
        <v>2599768</v>
      </c>
      <c r="V6" s="2">
        <v>2461070</v>
      </c>
    </row>
    <row r="7" spans="1:24" ht="18">
      <c r="A7" s="1" t="s">
        <v>5</v>
      </c>
      <c r="B7" s="2">
        <v>4267724</v>
      </c>
      <c r="C7" s="2">
        <v>3648717</v>
      </c>
      <c r="D7" s="2">
        <v>3781018</v>
      </c>
      <c r="E7" s="2">
        <v>3982309</v>
      </c>
      <c r="F7" s="2">
        <v>4276509</v>
      </c>
      <c r="G7" s="2">
        <v>2273935</v>
      </c>
      <c r="H7" s="2">
        <v>1426171</v>
      </c>
      <c r="I7" s="2">
        <v>3269339</v>
      </c>
      <c r="J7" s="2">
        <v>3617044</v>
      </c>
      <c r="K7" s="2">
        <v>4197940</v>
      </c>
      <c r="L7" s="2">
        <v>3987006</v>
      </c>
      <c r="M7" s="2">
        <v>3983720</v>
      </c>
      <c r="N7" s="2">
        <v>3985729</v>
      </c>
      <c r="O7" s="2">
        <v>3621610</v>
      </c>
      <c r="P7" s="2">
        <v>4195685</v>
      </c>
      <c r="Q7" s="2">
        <v>4178299</v>
      </c>
      <c r="R7" s="2">
        <v>4484704</v>
      </c>
      <c r="S7" s="2">
        <v>3937529</v>
      </c>
      <c r="T7" s="2">
        <v>4535720</v>
      </c>
      <c r="U7" s="2">
        <v>4375796</v>
      </c>
      <c r="V7" s="2">
        <v>4381212</v>
      </c>
    </row>
    <row r="8" spans="1:24" ht="18">
      <c r="A8" s="1" t="s">
        <v>6</v>
      </c>
      <c r="B8" s="2">
        <v>2357677</v>
      </c>
      <c r="C8" s="2">
        <v>2636000</v>
      </c>
      <c r="D8" s="2">
        <v>2805400</v>
      </c>
      <c r="E8" s="2">
        <v>589800</v>
      </c>
      <c r="F8" s="2">
        <v>1292322</v>
      </c>
      <c r="G8" s="2">
        <v>1649100</v>
      </c>
      <c r="H8" s="2">
        <v>2370400</v>
      </c>
      <c r="I8" s="2">
        <v>2428600</v>
      </c>
      <c r="J8" s="2">
        <v>1180178</v>
      </c>
      <c r="K8" s="2">
        <v>2608907</v>
      </c>
      <c r="L8" s="2">
        <v>2533344</v>
      </c>
      <c r="M8" s="2">
        <v>2327922</v>
      </c>
      <c r="N8" s="2">
        <v>2444161</v>
      </c>
      <c r="O8" s="2">
        <v>2159344</v>
      </c>
      <c r="P8" s="2">
        <v>2488155</v>
      </c>
      <c r="Q8" s="2">
        <v>2661233</v>
      </c>
      <c r="R8" s="2">
        <v>2630330</v>
      </c>
      <c r="S8" s="2">
        <v>1868693</v>
      </c>
      <c r="T8" s="2">
        <v>2302552</v>
      </c>
      <c r="U8" s="2">
        <v>2080957</v>
      </c>
      <c r="V8" s="2">
        <v>2067750</v>
      </c>
    </row>
    <row r="9" spans="1:24" ht="18">
      <c r="A9" s="1" t="s">
        <v>7</v>
      </c>
      <c r="B9" s="2">
        <v>4764999</v>
      </c>
      <c r="C9" s="2">
        <v>4725516</v>
      </c>
      <c r="D9" s="2">
        <v>4934560</v>
      </c>
      <c r="E9" s="2">
        <v>4492159</v>
      </c>
      <c r="F9" s="2">
        <v>4822189</v>
      </c>
      <c r="G9" s="2">
        <v>3869700</v>
      </c>
      <c r="H9" s="2">
        <v>4104556</v>
      </c>
      <c r="I9" s="2">
        <v>4508938</v>
      </c>
      <c r="J9" s="2">
        <v>3374021</v>
      </c>
      <c r="K9" s="2">
        <v>4115107</v>
      </c>
      <c r="L9" s="2">
        <v>4046559</v>
      </c>
      <c r="M9" s="2">
        <v>3912141</v>
      </c>
      <c r="N9" s="2">
        <v>3096037</v>
      </c>
      <c r="O9" s="2">
        <v>3191606</v>
      </c>
      <c r="P9" s="2">
        <v>4000512</v>
      </c>
      <c r="Q9" s="2">
        <v>4224436</v>
      </c>
      <c r="R9" s="2">
        <v>3464682</v>
      </c>
      <c r="S9" s="2">
        <v>4081662</v>
      </c>
      <c r="T9" s="2">
        <v>4346956</v>
      </c>
      <c r="U9" s="2">
        <v>4204973</v>
      </c>
      <c r="V9" s="2">
        <v>3367264</v>
      </c>
    </row>
    <row r="10" spans="1:24" ht="18">
      <c r="A10" s="1" t="s">
        <v>8</v>
      </c>
      <c r="B10" s="2">
        <v>3595585</v>
      </c>
      <c r="C10" s="2">
        <v>3231659</v>
      </c>
      <c r="D10" s="2">
        <v>3945212</v>
      </c>
      <c r="E10" s="2">
        <v>3222308</v>
      </c>
      <c r="F10" s="2">
        <v>4033478</v>
      </c>
      <c r="G10" s="2">
        <v>2659279</v>
      </c>
      <c r="H10" s="2">
        <v>2838763</v>
      </c>
      <c r="I10" s="2">
        <v>4023812</v>
      </c>
      <c r="J10" s="2">
        <v>3584249</v>
      </c>
      <c r="K10" s="2">
        <v>3701276</v>
      </c>
      <c r="L10" s="2">
        <v>4463445</v>
      </c>
      <c r="M10" s="2">
        <v>4096561</v>
      </c>
      <c r="N10" s="2">
        <v>4088065</v>
      </c>
      <c r="O10" s="2">
        <v>4122731</v>
      </c>
      <c r="P10" s="2">
        <v>3845346</v>
      </c>
      <c r="Q10" s="2">
        <v>4675303</v>
      </c>
      <c r="R10" s="2">
        <v>2041003</v>
      </c>
      <c r="S10" s="2">
        <v>2263470</v>
      </c>
      <c r="T10" s="2">
        <v>2681231</v>
      </c>
      <c r="U10" s="2">
        <v>2936316</v>
      </c>
      <c r="V10" s="2">
        <v>3036096</v>
      </c>
    </row>
    <row r="11" spans="1:24" ht="18">
      <c r="A11" s="1" t="s">
        <v>9</v>
      </c>
      <c r="B11" s="2">
        <v>4112357</v>
      </c>
      <c r="C11" s="2">
        <v>3099132</v>
      </c>
      <c r="D11" s="2">
        <v>4309874</v>
      </c>
      <c r="E11" s="2">
        <v>3657599</v>
      </c>
      <c r="F11" s="2">
        <v>3712280</v>
      </c>
      <c r="G11" s="2">
        <v>3127619</v>
      </c>
      <c r="H11" s="2">
        <v>3600483</v>
      </c>
      <c r="I11" s="2">
        <v>3541514</v>
      </c>
      <c r="J11" s="2">
        <v>2773107</v>
      </c>
      <c r="K11" s="2">
        <v>3621404</v>
      </c>
      <c r="L11" s="2">
        <v>3745914</v>
      </c>
      <c r="M11" s="2">
        <v>3529797</v>
      </c>
      <c r="N11" s="2">
        <v>3548673</v>
      </c>
      <c r="O11" s="2">
        <v>3236500</v>
      </c>
      <c r="P11" s="2">
        <v>3267358</v>
      </c>
      <c r="Q11" s="2">
        <v>1545100</v>
      </c>
      <c r="R11" s="2">
        <v>2751237</v>
      </c>
      <c r="S11" s="2">
        <v>3885086</v>
      </c>
      <c r="T11" s="2">
        <v>4238887</v>
      </c>
      <c r="U11" s="2">
        <v>4098478</v>
      </c>
      <c r="V11" s="2">
        <v>3955687</v>
      </c>
    </row>
    <row r="12" spans="1:24" ht="18">
      <c r="A12" s="1" t="s">
        <v>10</v>
      </c>
      <c r="B12" s="2">
        <v>3113383</v>
      </c>
      <c r="C12" s="2">
        <v>3307960</v>
      </c>
      <c r="D12" s="2">
        <v>3874600</v>
      </c>
      <c r="E12" s="2">
        <v>2903600</v>
      </c>
      <c r="F12" s="2">
        <v>4350850</v>
      </c>
      <c r="G12" s="2">
        <v>2777050</v>
      </c>
      <c r="H12" s="2">
        <v>3579400</v>
      </c>
      <c r="I12" s="2">
        <v>3405676</v>
      </c>
      <c r="J12" s="2">
        <v>2500870</v>
      </c>
      <c r="K12" s="2">
        <v>3655845</v>
      </c>
      <c r="L12" s="2">
        <v>3784566</v>
      </c>
      <c r="M12" s="2">
        <v>4136300</v>
      </c>
      <c r="N12" s="2">
        <v>3561400</v>
      </c>
      <c r="O12" s="2">
        <v>3745400</v>
      </c>
      <c r="P12" s="2">
        <v>4108333</v>
      </c>
      <c r="Q12" s="2">
        <v>2628050</v>
      </c>
      <c r="R12" s="2">
        <v>2553937</v>
      </c>
      <c r="S12" s="2">
        <v>2832900</v>
      </c>
      <c r="T12" s="2">
        <v>3825700</v>
      </c>
      <c r="U12" s="2">
        <v>4243100</v>
      </c>
      <c r="V12" s="2">
        <v>4245500</v>
      </c>
    </row>
    <row r="13" spans="1:24" ht="18">
      <c r="A13" s="1" t="s">
        <v>11</v>
      </c>
      <c r="B13" s="2">
        <v>3089700</v>
      </c>
      <c r="C13" s="2">
        <v>2857957</v>
      </c>
      <c r="D13" s="2">
        <v>1807902</v>
      </c>
      <c r="E13" s="2">
        <v>496047</v>
      </c>
      <c r="F13" s="2">
        <v>4078404</v>
      </c>
      <c r="G13" s="2">
        <v>3556300</v>
      </c>
      <c r="H13" s="2">
        <v>4003793</v>
      </c>
      <c r="I13" s="2">
        <v>3801365</v>
      </c>
      <c r="J13" s="2">
        <v>3722735</v>
      </c>
      <c r="K13" s="2">
        <v>3888560</v>
      </c>
      <c r="L13" s="2">
        <v>3597904</v>
      </c>
      <c r="M13" s="2">
        <v>3573472</v>
      </c>
      <c r="N13" s="2">
        <v>3529388</v>
      </c>
      <c r="O13" s="2">
        <v>3632366</v>
      </c>
      <c r="P13" s="2">
        <v>4005100</v>
      </c>
      <c r="Q13" s="2">
        <v>4212643</v>
      </c>
      <c r="R13" s="2">
        <v>3935672</v>
      </c>
      <c r="S13" s="2">
        <v>3521277</v>
      </c>
      <c r="T13" s="2">
        <v>3984128</v>
      </c>
      <c r="U13" s="2">
        <v>4072373</v>
      </c>
      <c r="V13" s="2">
        <v>4161300</v>
      </c>
    </row>
    <row r="14" spans="1:24" ht="18">
      <c r="A14" s="1" t="s">
        <v>12</v>
      </c>
      <c r="B14" s="2">
        <v>799538</v>
      </c>
      <c r="C14" s="2">
        <v>283675</v>
      </c>
      <c r="D14" s="2">
        <v>758284</v>
      </c>
      <c r="E14" s="2">
        <v>1090126</v>
      </c>
      <c r="F14" s="2">
        <v>726464</v>
      </c>
      <c r="G14" s="2">
        <v>563569</v>
      </c>
      <c r="H14" s="2">
        <v>369864</v>
      </c>
      <c r="I14" s="2">
        <v>195489</v>
      </c>
      <c r="J14" s="2">
        <v>3197652</v>
      </c>
      <c r="K14" s="2">
        <v>3993421</v>
      </c>
      <c r="L14" s="2">
        <v>3992904</v>
      </c>
      <c r="M14" s="2">
        <v>4229373</v>
      </c>
      <c r="N14" s="2">
        <v>4032764</v>
      </c>
      <c r="O14" s="2">
        <v>3981663</v>
      </c>
      <c r="P14" s="2">
        <v>4301176</v>
      </c>
      <c r="Q14" s="2">
        <v>4385479</v>
      </c>
      <c r="R14" s="2">
        <v>4377635</v>
      </c>
      <c r="S14" s="2">
        <v>3850497</v>
      </c>
      <c r="T14" s="2">
        <v>4376188</v>
      </c>
      <c r="U14" s="2">
        <v>4333366</v>
      </c>
      <c r="V14" s="2">
        <v>4248858</v>
      </c>
    </row>
    <row r="15" spans="1:24" ht="18">
      <c r="A15" s="1" t="s">
        <v>13</v>
      </c>
      <c r="B15" s="2">
        <v>2488082</v>
      </c>
      <c r="C15" s="2">
        <v>2415541</v>
      </c>
      <c r="D15" s="2">
        <v>3026752</v>
      </c>
      <c r="E15" s="2">
        <v>3308877</v>
      </c>
      <c r="F15" s="2">
        <v>3395724</v>
      </c>
      <c r="G15" s="2">
        <v>2785343</v>
      </c>
      <c r="H15" s="2">
        <v>3009302</v>
      </c>
      <c r="I15" s="2">
        <v>3115984</v>
      </c>
      <c r="J15" s="2">
        <v>2809266</v>
      </c>
      <c r="K15" s="2">
        <v>2626546</v>
      </c>
      <c r="L15" s="2">
        <v>2749591</v>
      </c>
      <c r="M15" s="2">
        <v>2422241</v>
      </c>
      <c r="N15" s="2">
        <v>1619479</v>
      </c>
      <c r="O15" s="2">
        <v>0</v>
      </c>
      <c r="P15" s="2">
        <v>2614107</v>
      </c>
      <c r="Q15" s="2">
        <v>3783372</v>
      </c>
      <c r="R15" s="2">
        <v>3208648</v>
      </c>
      <c r="S15" s="2">
        <v>2647126</v>
      </c>
      <c r="T15" s="2">
        <v>2878987</v>
      </c>
      <c r="U15" s="2">
        <v>3818832</v>
      </c>
      <c r="V15" s="2">
        <v>3763536</v>
      </c>
    </row>
    <row r="16" spans="1:24" ht="18">
      <c r="A16" s="1" t="s">
        <v>14</v>
      </c>
      <c r="B16" s="2">
        <v>3137157</v>
      </c>
      <c r="C16" s="2">
        <v>2870884</v>
      </c>
      <c r="D16" s="2">
        <v>3195600</v>
      </c>
      <c r="E16" s="2">
        <v>3579598</v>
      </c>
      <c r="F16" s="2">
        <v>3403376</v>
      </c>
      <c r="G16" s="2">
        <v>2837202</v>
      </c>
      <c r="H16" s="2">
        <v>1202298</v>
      </c>
      <c r="I16" s="2">
        <v>1627831</v>
      </c>
      <c r="J16" s="2">
        <v>3618824</v>
      </c>
      <c r="K16" s="2">
        <v>3120071</v>
      </c>
      <c r="L16" s="2">
        <v>3674249</v>
      </c>
      <c r="M16" s="2">
        <v>3008737</v>
      </c>
      <c r="N16" s="2">
        <v>3050034</v>
      </c>
      <c r="O16" s="2">
        <v>2933613</v>
      </c>
      <c r="P16" s="2">
        <v>3605527</v>
      </c>
      <c r="Q16" s="2">
        <v>3347236</v>
      </c>
      <c r="R16" s="2">
        <v>3289732</v>
      </c>
      <c r="S16" s="2">
        <v>2972926</v>
      </c>
      <c r="T16" s="2">
        <v>2619876</v>
      </c>
      <c r="U16" s="2">
        <v>3391246</v>
      </c>
      <c r="V16" s="2">
        <v>3217432</v>
      </c>
    </row>
    <row r="17" spans="1:22" ht="18">
      <c r="A17" s="1" t="s">
        <v>15</v>
      </c>
      <c r="B17" s="2">
        <v>1679710</v>
      </c>
      <c r="C17" s="2">
        <v>2462248</v>
      </c>
      <c r="D17" s="2">
        <v>2416393</v>
      </c>
      <c r="E17" s="2">
        <v>2724174</v>
      </c>
      <c r="F17" s="2">
        <v>3991143</v>
      </c>
      <c r="G17" s="2">
        <v>2329306</v>
      </c>
      <c r="H17" s="2">
        <v>1097053</v>
      </c>
      <c r="I17" s="2">
        <v>1028929</v>
      </c>
      <c r="J17" s="2">
        <v>2663668</v>
      </c>
      <c r="K17" s="2">
        <v>3214991</v>
      </c>
      <c r="L17" s="2">
        <v>3686338</v>
      </c>
      <c r="M17" s="2">
        <v>3144367</v>
      </c>
      <c r="N17" s="2">
        <v>2946938</v>
      </c>
      <c r="O17" s="2">
        <v>2360867</v>
      </c>
      <c r="P17" s="2">
        <v>1658670</v>
      </c>
      <c r="Q17" s="2">
        <v>1902744</v>
      </c>
      <c r="R17" s="2">
        <v>2986229</v>
      </c>
      <c r="S17" s="2">
        <v>2612604</v>
      </c>
      <c r="T17" s="2">
        <v>3608612</v>
      </c>
      <c r="U17" s="2">
        <v>3582791</v>
      </c>
      <c r="V17" s="2">
        <v>3539354</v>
      </c>
    </row>
    <row r="18" spans="1:22" ht="18">
      <c r="A18" s="1" t="s">
        <v>16</v>
      </c>
      <c r="B18" s="2">
        <v>3464430</v>
      </c>
      <c r="C18" s="2">
        <v>3104201</v>
      </c>
      <c r="D18" s="2">
        <v>3911908</v>
      </c>
      <c r="E18" s="2">
        <v>3359947</v>
      </c>
      <c r="F18" s="2">
        <v>2190789</v>
      </c>
      <c r="G18" s="2">
        <v>3064919</v>
      </c>
      <c r="H18" s="2">
        <v>3576153</v>
      </c>
      <c r="I18" s="2">
        <v>3457399</v>
      </c>
      <c r="J18" s="2">
        <v>2590494</v>
      </c>
      <c r="K18" s="2">
        <v>3382511</v>
      </c>
      <c r="L18" s="2">
        <v>3550499</v>
      </c>
      <c r="M18" s="2">
        <v>3463268</v>
      </c>
      <c r="N18" s="2">
        <v>2977899</v>
      </c>
      <c r="O18" s="2">
        <v>2907225</v>
      </c>
      <c r="P18" s="2">
        <v>2935239</v>
      </c>
      <c r="Q18" s="2">
        <v>3109244</v>
      </c>
      <c r="R18" s="2">
        <v>3337088</v>
      </c>
      <c r="S18" s="2">
        <v>2923338</v>
      </c>
      <c r="T18" s="2">
        <v>3024685</v>
      </c>
      <c r="U18" s="2">
        <v>3351073</v>
      </c>
      <c r="V18" s="2">
        <v>3082747</v>
      </c>
    </row>
    <row r="19" spans="1:22" ht="18">
      <c r="A19" s="1" t="s">
        <v>17</v>
      </c>
      <c r="B19" s="2">
        <v>2018079</v>
      </c>
      <c r="C19" s="2">
        <v>2042491</v>
      </c>
      <c r="D19" s="2">
        <v>1502273</v>
      </c>
      <c r="E19" s="2">
        <v>1765772</v>
      </c>
      <c r="F19" s="2">
        <v>1261523</v>
      </c>
      <c r="G19" s="2">
        <v>546428</v>
      </c>
      <c r="H19" s="2">
        <v>1326200</v>
      </c>
      <c r="I19" s="2">
        <v>2213730</v>
      </c>
      <c r="J19" s="2">
        <v>2110126</v>
      </c>
      <c r="K19" s="2">
        <v>2734706</v>
      </c>
      <c r="L19" s="2">
        <v>2709417</v>
      </c>
      <c r="M19" s="2">
        <v>2620212</v>
      </c>
      <c r="N19" s="2">
        <v>2524350</v>
      </c>
      <c r="O19" s="2">
        <v>1985354</v>
      </c>
      <c r="P19" s="2">
        <v>2496500</v>
      </c>
      <c r="Q19" s="2">
        <v>2517218</v>
      </c>
      <c r="R19" s="2">
        <v>2617800</v>
      </c>
      <c r="S19" s="2">
        <v>2214469</v>
      </c>
      <c r="T19" s="2">
        <v>2550585</v>
      </c>
      <c r="U19" s="2">
        <v>2608750</v>
      </c>
      <c r="V19" s="2">
        <v>2574000</v>
      </c>
    </row>
    <row r="20" spans="1:22" ht="18">
      <c r="A20" s="1" t="s">
        <v>18</v>
      </c>
      <c r="B20" s="2">
        <v>4126448</v>
      </c>
      <c r="C20" s="2">
        <v>3675711</v>
      </c>
      <c r="D20" s="2">
        <v>3598794</v>
      </c>
      <c r="E20" s="2">
        <v>3080825</v>
      </c>
      <c r="F20" s="2">
        <v>2205025</v>
      </c>
      <c r="G20" s="2">
        <v>3377308</v>
      </c>
      <c r="H20" s="2">
        <v>4441901</v>
      </c>
      <c r="I20" s="2">
        <v>4458196</v>
      </c>
      <c r="J20" s="2">
        <v>4076110</v>
      </c>
      <c r="K20" s="2">
        <v>4596544</v>
      </c>
      <c r="L20" s="2">
        <v>4431719</v>
      </c>
      <c r="M20" s="2">
        <v>3637271</v>
      </c>
      <c r="N20" s="2">
        <v>3015706</v>
      </c>
      <c r="O20" s="2">
        <v>3407694</v>
      </c>
      <c r="P20" s="2">
        <v>3995590</v>
      </c>
      <c r="Q20" s="2">
        <v>3853596</v>
      </c>
      <c r="R20" s="2">
        <v>4129467</v>
      </c>
      <c r="S20" s="2">
        <v>4005999</v>
      </c>
      <c r="T20" s="2">
        <v>3338297</v>
      </c>
      <c r="U20" s="2">
        <v>3951059</v>
      </c>
      <c r="V20" s="2">
        <v>3547178</v>
      </c>
    </row>
    <row r="21" spans="1:22" ht="18">
      <c r="A21" s="1" t="s">
        <v>19</v>
      </c>
      <c r="B21" s="2">
        <v>1359389</v>
      </c>
      <c r="C21" s="2">
        <v>3310732</v>
      </c>
      <c r="D21" s="2">
        <v>4231182</v>
      </c>
      <c r="E21" s="2">
        <v>3340409</v>
      </c>
      <c r="F21" s="2">
        <v>4628154</v>
      </c>
      <c r="G21" s="2">
        <v>2969432</v>
      </c>
      <c r="H21" s="2">
        <v>2990411</v>
      </c>
      <c r="I21" s="2">
        <v>1658845</v>
      </c>
      <c r="J21" s="2">
        <v>1731901</v>
      </c>
      <c r="K21" s="2">
        <v>3165777</v>
      </c>
      <c r="L21" s="2">
        <v>3262659</v>
      </c>
      <c r="M21" s="2">
        <v>3284688</v>
      </c>
      <c r="N21" s="2">
        <v>3260291</v>
      </c>
      <c r="O21" s="2">
        <v>3669194</v>
      </c>
      <c r="P21" s="2">
        <v>4078769</v>
      </c>
      <c r="Q21" s="2">
        <v>4172865</v>
      </c>
      <c r="R21" s="2">
        <v>4224860</v>
      </c>
      <c r="S21" s="2">
        <v>673541</v>
      </c>
      <c r="T21" s="2">
        <v>1547691</v>
      </c>
      <c r="U21" s="2">
        <v>2884611</v>
      </c>
      <c r="V21" s="2">
        <v>3193626</v>
      </c>
    </row>
    <row r="22" spans="1:22" ht="18">
      <c r="A22" s="1" t="s">
        <v>20</v>
      </c>
      <c r="B22" s="2">
        <v>3163587</v>
      </c>
      <c r="C22" s="2">
        <v>3314217</v>
      </c>
      <c r="D22" s="2">
        <v>3222348</v>
      </c>
      <c r="E22" s="2">
        <v>2878044</v>
      </c>
      <c r="F22" s="2">
        <v>3357383</v>
      </c>
      <c r="G22" s="2">
        <v>3179989</v>
      </c>
      <c r="H22" s="2">
        <v>2954936</v>
      </c>
      <c r="I22" s="2">
        <v>3326444</v>
      </c>
      <c r="J22" s="2">
        <v>3466707</v>
      </c>
      <c r="K22" s="2">
        <v>3580400</v>
      </c>
      <c r="L22" s="2">
        <v>2971246</v>
      </c>
      <c r="M22" s="2">
        <v>3045769</v>
      </c>
      <c r="N22" s="2">
        <v>3242174</v>
      </c>
      <c r="O22" s="2">
        <v>3047190</v>
      </c>
      <c r="P22" s="2">
        <v>3337922</v>
      </c>
      <c r="Q22" s="2">
        <v>3248210</v>
      </c>
      <c r="R22" s="2">
        <v>3448188</v>
      </c>
      <c r="S22" s="2">
        <v>3417190</v>
      </c>
      <c r="T22" s="2">
        <v>3638809</v>
      </c>
      <c r="U22" s="2">
        <v>3223924</v>
      </c>
      <c r="V22" s="2">
        <v>3266501</v>
      </c>
    </row>
    <row r="23" spans="1:22" ht="18">
      <c r="A23" s="1" t="s">
        <v>21</v>
      </c>
      <c r="B23" s="2">
        <v>4563418</v>
      </c>
      <c r="C23" s="2">
        <v>4000947</v>
      </c>
      <c r="D23" s="2">
        <v>4578435</v>
      </c>
      <c r="E23" s="2">
        <v>4853068</v>
      </c>
      <c r="F23" s="2">
        <v>5195828</v>
      </c>
      <c r="G23" s="2">
        <v>4001521</v>
      </c>
      <c r="H23" s="2">
        <v>3764817</v>
      </c>
      <c r="I23" s="2">
        <v>4243953</v>
      </c>
      <c r="J23" s="2">
        <v>4023745</v>
      </c>
      <c r="K23" s="2">
        <v>4432735</v>
      </c>
      <c r="L23" s="2">
        <v>4996762</v>
      </c>
      <c r="M23" s="2">
        <v>4182111</v>
      </c>
      <c r="N23" s="2">
        <v>4648663</v>
      </c>
      <c r="O23" s="2">
        <v>4420285</v>
      </c>
      <c r="P23" s="2">
        <v>4428084</v>
      </c>
      <c r="Q23" s="2">
        <v>4386425</v>
      </c>
      <c r="R23" s="2">
        <v>4921507</v>
      </c>
      <c r="S23" s="2">
        <v>3180265</v>
      </c>
      <c r="T23" s="2">
        <v>3905665</v>
      </c>
      <c r="U23" s="2">
        <v>4360459</v>
      </c>
      <c r="V23" s="2">
        <v>4489477</v>
      </c>
    </row>
    <row r="24" spans="1:22" ht="18">
      <c r="A24" s="1" t="s">
        <v>22</v>
      </c>
      <c r="B24" s="2">
        <v>3049876</v>
      </c>
      <c r="C24" s="2">
        <v>2950572</v>
      </c>
      <c r="D24" s="2">
        <v>2029615</v>
      </c>
      <c r="E24" s="2">
        <v>375594</v>
      </c>
      <c r="F24" s="2">
        <v>0</v>
      </c>
      <c r="G24" s="2">
        <v>0</v>
      </c>
      <c r="H24" s="2">
        <v>17615</v>
      </c>
      <c r="I24" s="2">
        <v>4131204</v>
      </c>
      <c r="J24" s="2">
        <v>4091896</v>
      </c>
      <c r="K24" s="2">
        <v>4698711</v>
      </c>
      <c r="L24" s="2">
        <v>4415871</v>
      </c>
      <c r="M24" s="2">
        <v>3165363</v>
      </c>
      <c r="N24" s="2">
        <v>4169016</v>
      </c>
      <c r="O24" s="2">
        <v>3580268</v>
      </c>
      <c r="P24" s="2">
        <v>4056259</v>
      </c>
      <c r="Q24" s="2">
        <v>4395667</v>
      </c>
      <c r="R24" s="2">
        <v>3934755</v>
      </c>
      <c r="S24" s="2">
        <v>4054795</v>
      </c>
      <c r="T24" s="2">
        <v>4481056</v>
      </c>
      <c r="U24" s="2">
        <v>3726541</v>
      </c>
      <c r="V24" s="2">
        <v>4174100</v>
      </c>
    </row>
    <row r="25" spans="1:22" ht="18">
      <c r="A25" s="1" t="s">
        <v>23</v>
      </c>
      <c r="B25" s="2">
        <v>2399696</v>
      </c>
      <c r="C25" s="2">
        <v>2335730</v>
      </c>
      <c r="D25" s="2">
        <v>2670538</v>
      </c>
      <c r="E25" s="2">
        <v>1982924</v>
      </c>
      <c r="F25" s="2">
        <v>2028641</v>
      </c>
      <c r="G25" s="2">
        <v>1003103</v>
      </c>
      <c r="H25" s="2">
        <v>1773658</v>
      </c>
      <c r="I25" s="2">
        <v>2379831</v>
      </c>
      <c r="J25" s="2">
        <v>1329048</v>
      </c>
      <c r="K25" s="2">
        <v>1178254</v>
      </c>
      <c r="L25" s="2">
        <v>1830583</v>
      </c>
      <c r="M25" s="2">
        <v>1818266</v>
      </c>
      <c r="N25" s="2">
        <v>1863558</v>
      </c>
      <c r="O25" s="2">
        <v>1814736</v>
      </c>
      <c r="P25" s="2">
        <v>1982681</v>
      </c>
      <c r="Q25" s="2">
        <v>2002254</v>
      </c>
      <c r="R25" s="2">
        <v>1562091</v>
      </c>
      <c r="S25" s="2">
        <v>1445899</v>
      </c>
      <c r="T25" s="2">
        <v>595099</v>
      </c>
      <c r="U25" s="2">
        <v>891201</v>
      </c>
      <c r="V25" s="2">
        <v>995876</v>
      </c>
    </row>
    <row r="26" spans="1:22" ht="18">
      <c r="A26" s="1" t="s">
        <v>24</v>
      </c>
      <c r="B26" s="2">
        <v>2092557</v>
      </c>
      <c r="C26" s="2">
        <v>2296057</v>
      </c>
      <c r="D26" s="2">
        <v>2779376</v>
      </c>
      <c r="E26" s="2">
        <v>2246785</v>
      </c>
      <c r="F26" s="2">
        <v>2086033</v>
      </c>
      <c r="G26" s="2">
        <v>1911710</v>
      </c>
      <c r="H26" s="2">
        <v>900471</v>
      </c>
      <c r="I26" s="2">
        <v>0</v>
      </c>
      <c r="J26" s="2">
        <v>0</v>
      </c>
      <c r="K26" s="2">
        <v>704467</v>
      </c>
      <c r="L26" s="2">
        <v>2145166</v>
      </c>
      <c r="M26" s="2">
        <v>1989512</v>
      </c>
      <c r="N26" s="2">
        <v>1821588</v>
      </c>
      <c r="O26" s="2">
        <v>1237813</v>
      </c>
      <c r="P26" s="2">
        <v>974207</v>
      </c>
      <c r="Q26" s="2">
        <v>1618108</v>
      </c>
      <c r="R26" s="2">
        <v>1086462</v>
      </c>
      <c r="S26" s="2">
        <v>2055492</v>
      </c>
      <c r="T26" s="2">
        <v>1359584</v>
      </c>
      <c r="U26" s="2">
        <v>1285340</v>
      </c>
      <c r="V26" s="2">
        <v>1545727</v>
      </c>
    </row>
    <row r="27" spans="1:22" ht="18">
      <c r="A27" s="1" t="s">
        <v>25</v>
      </c>
      <c r="B27" s="2">
        <v>1772560</v>
      </c>
      <c r="C27" s="2">
        <v>1820794</v>
      </c>
      <c r="D27" s="2">
        <v>1444493</v>
      </c>
      <c r="E27" s="2">
        <v>1671787</v>
      </c>
      <c r="F27" s="2">
        <v>1964637</v>
      </c>
      <c r="G27" s="2">
        <v>1761433</v>
      </c>
      <c r="H27" s="2">
        <v>2120381</v>
      </c>
      <c r="I27" s="2">
        <v>1739420</v>
      </c>
      <c r="J27" s="2">
        <v>1847722</v>
      </c>
      <c r="K27" s="2">
        <v>1234264</v>
      </c>
      <c r="L27" s="2">
        <v>0</v>
      </c>
      <c r="M27" s="2">
        <v>1049624</v>
      </c>
      <c r="N27" s="2">
        <v>2749526</v>
      </c>
      <c r="O27" s="2">
        <v>2698010</v>
      </c>
      <c r="P27" s="2">
        <v>2529900</v>
      </c>
      <c r="Q27" s="2">
        <v>2933743</v>
      </c>
      <c r="R27" s="2">
        <v>2754664</v>
      </c>
      <c r="S27" s="2">
        <v>2479902</v>
      </c>
      <c r="T27" s="2">
        <v>2965569</v>
      </c>
      <c r="U27" s="2">
        <v>3070840</v>
      </c>
      <c r="V27" s="2">
        <v>2992796</v>
      </c>
    </row>
    <row r="28" spans="1:22" ht="18">
      <c r="A28" s="1" t="s">
        <v>26</v>
      </c>
      <c r="B28" s="2">
        <v>0</v>
      </c>
      <c r="C28" s="2">
        <v>0</v>
      </c>
      <c r="D28" s="2">
        <v>0</v>
      </c>
      <c r="E28" s="2">
        <v>1304890</v>
      </c>
      <c r="F28" s="2">
        <v>2361103</v>
      </c>
      <c r="G28" s="2">
        <v>1952436</v>
      </c>
      <c r="H28" s="2">
        <v>2136766</v>
      </c>
      <c r="I28" s="2">
        <v>1353403</v>
      </c>
      <c r="J28" s="2">
        <v>1389632</v>
      </c>
      <c r="K28" s="2">
        <v>1459480</v>
      </c>
      <c r="L28" s="2">
        <v>2360852</v>
      </c>
      <c r="M28" s="2">
        <v>2215326</v>
      </c>
      <c r="N28" s="2">
        <v>2327432</v>
      </c>
      <c r="O28" s="2">
        <v>2143912</v>
      </c>
      <c r="P28" s="2">
        <v>2441923</v>
      </c>
      <c r="Q28" s="2">
        <v>2303398</v>
      </c>
      <c r="R28" s="2">
        <v>2414030</v>
      </c>
      <c r="S28" s="2">
        <v>2132419</v>
      </c>
      <c r="T28" s="2">
        <v>2394219</v>
      </c>
      <c r="U28" s="2">
        <v>2390305</v>
      </c>
      <c r="V28" s="2">
        <v>2172216</v>
      </c>
    </row>
    <row r="29" spans="1:22" ht="18">
      <c r="A29" s="1" t="s">
        <v>27</v>
      </c>
      <c r="B29" s="2">
        <v>4349349</v>
      </c>
      <c r="C29" s="2">
        <v>4564287</v>
      </c>
      <c r="D29" s="2">
        <v>4319234</v>
      </c>
      <c r="E29" s="2">
        <v>3039153</v>
      </c>
      <c r="F29" s="2">
        <v>3923502</v>
      </c>
      <c r="G29" s="2">
        <v>3583590</v>
      </c>
      <c r="H29" s="2">
        <v>3245654</v>
      </c>
      <c r="I29" s="2">
        <v>3754660</v>
      </c>
      <c r="J29" s="2">
        <v>3745328</v>
      </c>
      <c r="K29" s="2">
        <v>4473242</v>
      </c>
      <c r="L29" s="2">
        <v>4448167</v>
      </c>
      <c r="M29" s="2">
        <v>3705478</v>
      </c>
      <c r="N29" s="2">
        <v>3941363</v>
      </c>
      <c r="O29" s="2">
        <v>3889612</v>
      </c>
      <c r="P29" s="2">
        <v>4451870</v>
      </c>
      <c r="Q29" s="2">
        <v>4699730</v>
      </c>
      <c r="R29" s="2">
        <v>4526635</v>
      </c>
      <c r="S29" s="2">
        <v>4297494</v>
      </c>
      <c r="T29" s="2">
        <v>3597351</v>
      </c>
      <c r="U29" s="2">
        <v>4752600</v>
      </c>
      <c r="V29" s="2">
        <v>4780775</v>
      </c>
    </row>
    <row r="30" spans="1:22" ht="18">
      <c r="A30" s="1" t="s">
        <v>28</v>
      </c>
      <c r="B30" s="2">
        <v>2406326</v>
      </c>
      <c r="C30" s="2">
        <v>1746844</v>
      </c>
      <c r="D30" s="2">
        <v>2423606</v>
      </c>
      <c r="E30" s="2">
        <v>2130529</v>
      </c>
      <c r="F30" s="2">
        <v>2059819</v>
      </c>
      <c r="G30" s="2">
        <v>2054406</v>
      </c>
      <c r="H30" s="2">
        <v>1603075</v>
      </c>
      <c r="I30" s="2">
        <v>1765492</v>
      </c>
      <c r="J30" s="2">
        <v>1483044</v>
      </c>
      <c r="K30" s="2">
        <v>1320890</v>
      </c>
      <c r="L30" s="2">
        <v>1425622</v>
      </c>
      <c r="M30" s="2">
        <v>0</v>
      </c>
      <c r="N30" s="2">
        <v>0</v>
      </c>
      <c r="O30" s="2">
        <v>1462073</v>
      </c>
      <c r="P30" s="2">
        <v>2295072</v>
      </c>
      <c r="Q30" s="2">
        <v>2353584</v>
      </c>
      <c r="R30" s="2">
        <v>2016323</v>
      </c>
      <c r="S30" s="2">
        <v>1346381</v>
      </c>
      <c r="T30" s="2">
        <v>1999638</v>
      </c>
      <c r="U30" s="2">
        <v>2080396</v>
      </c>
      <c r="V30" s="2">
        <v>1907185</v>
      </c>
    </row>
    <row r="31" spans="1:22" ht="18">
      <c r="A31" s="1" t="s">
        <v>29</v>
      </c>
      <c r="B31" s="2">
        <v>2137360</v>
      </c>
      <c r="C31" s="2">
        <v>2018395</v>
      </c>
      <c r="D31" s="2">
        <v>1762634</v>
      </c>
      <c r="E31" s="2">
        <v>1807471</v>
      </c>
      <c r="F31" s="2">
        <v>1578013</v>
      </c>
      <c r="G31" s="2">
        <v>1679502</v>
      </c>
      <c r="H31" s="2">
        <v>1969782</v>
      </c>
      <c r="I31" s="2">
        <v>1728544</v>
      </c>
      <c r="J31" s="2">
        <v>1715705</v>
      </c>
      <c r="K31" s="2">
        <v>2351796</v>
      </c>
      <c r="L31" s="2">
        <v>1323274</v>
      </c>
      <c r="M31" s="2">
        <v>1704334</v>
      </c>
      <c r="N31" s="2">
        <v>1769473</v>
      </c>
      <c r="O31" s="2">
        <v>1817068</v>
      </c>
      <c r="P31" s="2">
        <v>1896915</v>
      </c>
      <c r="Q31" s="2">
        <v>1892637</v>
      </c>
      <c r="R31" s="2">
        <v>1904524</v>
      </c>
      <c r="S31" s="2">
        <v>1299996</v>
      </c>
      <c r="T31" s="2">
        <v>1642627</v>
      </c>
      <c r="U31" s="2">
        <v>1332189</v>
      </c>
      <c r="V31" s="2">
        <v>1607919</v>
      </c>
    </row>
    <row r="32" spans="1:22" ht="18">
      <c r="A32" s="1" t="s">
        <v>30</v>
      </c>
      <c r="B32" s="2">
        <v>3378005</v>
      </c>
      <c r="C32" s="2">
        <v>3207600</v>
      </c>
      <c r="D32" s="2">
        <v>4202563</v>
      </c>
      <c r="E32" s="2">
        <v>4282469</v>
      </c>
      <c r="F32" s="2">
        <v>4742115</v>
      </c>
      <c r="G32" s="2">
        <v>4122919</v>
      </c>
      <c r="H32" s="2">
        <v>4394733</v>
      </c>
      <c r="I32" s="2">
        <v>4459000</v>
      </c>
      <c r="J32" s="2">
        <v>3843700</v>
      </c>
      <c r="K32" s="2">
        <v>4293969</v>
      </c>
      <c r="L32" s="2">
        <v>3443074</v>
      </c>
      <c r="M32" s="2">
        <v>3221804</v>
      </c>
      <c r="N32" s="2">
        <v>2621484</v>
      </c>
      <c r="O32" s="2">
        <v>3041782</v>
      </c>
      <c r="P32" s="2">
        <v>3817828</v>
      </c>
      <c r="Q32" s="2">
        <v>3969320</v>
      </c>
      <c r="R32" s="2">
        <v>3576231</v>
      </c>
      <c r="S32" s="2">
        <v>2985401</v>
      </c>
      <c r="T32" s="2">
        <v>3254894</v>
      </c>
      <c r="U32" s="2">
        <v>3981062</v>
      </c>
      <c r="V32" s="2">
        <v>3883397</v>
      </c>
    </row>
    <row r="33" spans="1:22" ht="18">
      <c r="A33" s="1" t="s">
        <v>31</v>
      </c>
      <c r="B33" s="2">
        <v>3001508</v>
      </c>
      <c r="C33" s="2">
        <v>3232833</v>
      </c>
      <c r="D33" s="2">
        <v>3699200</v>
      </c>
      <c r="E33" s="2">
        <v>2754750</v>
      </c>
      <c r="F33" s="2">
        <v>3453400</v>
      </c>
      <c r="G33" s="2">
        <v>2767185</v>
      </c>
      <c r="H33" s="2">
        <v>2628600</v>
      </c>
      <c r="I33" s="2">
        <v>2933300</v>
      </c>
      <c r="J33" s="2">
        <v>3777700</v>
      </c>
      <c r="K33" s="2">
        <v>3553050</v>
      </c>
      <c r="L33" s="2">
        <v>4001460</v>
      </c>
      <c r="M33" s="2">
        <v>3679500</v>
      </c>
      <c r="N33" s="2">
        <v>2634900</v>
      </c>
      <c r="O33" s="2">
        <v>2249415</v>
      </c>
      <c r="P33" s="2">
        <v>2886025</v>
      </c>
      <c r="Q33" s="2">
        <v>2576121</v>
      </c>
      <c r="R33" s="2">
        <v>3616260</v>
      </c>
      <c r="S33" s="2">
        <v>2793200</v>
      </c>
      <c r="T33" s="2">
        <v>3233371</v>
      </c>
      <c r="U33" s="2">
        <v>3028790</v>
      </c>
      <c r="V33" s="2">
        <v>3155946</v>
      </c>
    </row>
    <row r="34" spans="1:22" ht="18">
      <c r="A34" s="1" t="s">
        <v>32</v>
      </c>
      <c r="B34" s="2">
        <v>3506658</v>
      </c>
      <c r="C34" s="2">
        <v>3482768</v>
      </c>
      <c r="D34" s="2">
        <v>3406900</v>
      </c>
      <c r="E34" s="2">
        <v>3520273</v>
      </c>
      <c r="F34" s="2">
        <v>1533376</v>
      </c>
      <c r="G34" s="2">
        <v>595958</v>
      </c>
      <c r="H34" s="2">
        <v>3752621</v>
      </c>
      <c r="I34" s="2">
        <v>3542653</v>
      </c>
      <c r="J34" s="2">
        <v>3869150</v>
      </c>
      <c r="K34" s="2">
        <v>3356558</v>
      </c>
      <c r="L34" s="2">
        <v>3976282</v>
      </c>
      <c r="M34" s="2">
        <v>551964</v>
      </c>
      <c r="N34" s="2">
        <v>1697306</v>
      </c>
      <c r="O34" s="2">
        <v>3761852</v>
      </c>
      <c r="P34" s="2">
        <v>4065219</v>
      </c>
      <c r="Q34" s="2">
        <v>3657415</v>
      </c>
      <c r="R34" s="2">
        <v>4095801</v>
      </c>
      <c r="S34" s="2">
        <v>4030890</v>
      </c>
      <c r="T34" s="2">
        <v>3892527</v>
      </c>
      <c r="U34" s="2">
        <v>3482629</v>
      </c>
      <c r="V34" s="2">
        <v>4078694</v>
      </c>
    </row>
    <row r="35" spans="1:22" ht="18">
      <c r="A35" s="1" t="s">
        <v>33</v>
      </c>
      <c r="B35" s="2">
        <v>401083</v>
      </c>
      <c r="C35" s="2">
        <v>1940595</v>
      </c>
      <c r="D35" s="2">
        <v>2282710</v>
      </c>
      <c r="E35" s="2">
        <v>1882320</v>
      </c>
      <c r="F35" s="2">
        <v>1987995</v>
      </c>
      <c r="G35" s="2">
        <v>1687154</v>
      </c>
      <c r="H35" s="2">
        <v>2353401</v>
      </c>
      <c r="I35" s="2">
        <v>1353343</v>
      </c>
      <c r="J35" s="2">
        <v>1911689</v>
      </c>
      <c r="K35" s="2">
        <v>1607564</v>
      </c>
      <c r="L35" s="2">
        <v>992906</v>
      </c>
      <c r="M35" s="2">
        <v>2100485</v>
      </c>
      <c r="N35" s="2">
        <v>1191086</v>
      </c>
      <c r="O35" s="2">
        <v>1336969</v>
      </c>
      <c r="P35" s="2">
        <v>2298067</v>
      </c>
      <c r="Q35" s="2">
        <v>1827792</v>
      </c>
      <c r="R35" s="2">
        <v>2201687</v>
      </c>
      <c r="S35" s="2">
        <v>1456450</v>
      </c>
      <c r="T35" s="2">
        <v>2013105</v>
      </c>
      <c r="U35" s="2">
        <v>2291951</v>
      </c>
      <c r="V35" s="2">
        <v>2042502</v>
      </c>
    </row>
    <row r="36" spans="1:22" ht="18">
      <c r="A36" s="1" t="s">
        <v>34</v>
      </c>
      <c r="B36" s="2">
        <v>0</v>
      </c>
      <c r="C36" s="2">
        <v>485709</v>
      </c>
      <c r="D36" s="2">
        <v>2605759</v>
      </c>
      <c r="E36" s="2">
        <v>2414399</v>
      </c>
      <c r="F36" s="2">
        <v>2414817</v>
      </c>
      <c r="G36" s="2">
        <v>2104658</v>
      </c>
      <c r="H36" s="2">
        <v>2574611</v>
      </c>
      <c r="I36" s="2">
        <v>2004889</v>
      </c>
      <c r="J36" s="2">
        <v>2562072</v>
      </c>
      <c r="K36" s="2">
        <v>2744765</v>
      </c>
      <c r="L36" s="2">
        <v>2215841</v>
      </c>
      <c r="M36" s="2">
        <v>2095043</v>
      </c>
      <c r="N36" s="2">
        <v>2031887</v>
      </c>
      <c r="O36" s="2">
        <v>2466166</v>
      </c>
      <c r="P36" s="2">
        <v>2541734</v>
      </c>
      <c r="Q36" s="2">
        <v>2831935</v>
      </c>
      <c r="R36" s="2">
        <v>2774056</v>
      </c>
      <c r="S36" s="2">
        <v>1708180</v>
      </c>
      <c r="T36" s="2">
        <v>1947033</v>
      </c>
      <c r="U36" s="2">
        <v>2716343</v>
      </c>
      <c r="V36" s="2">
        <v>2636634</v>
      </c>
    </row>
    <row r="37" spans="1:22" ht="18">
      <c r="A37" s="3"/>
      <c r="B37" s="4">
        <v>96218023</v>
      </c>
      <c r="C37" s="4">
        <v>96475047</v>
      </c>
      <c r="D37" s="4">
        <v>106878899</v>
      </c>
      <c r="E37" s="4">
        <v>94398370</v>
      </c>
      <c r="F37" s="4">
        <v>103829921</v>
      </c>
      <c r="G37" s="4">
        <v>86430078</v>
      </c>
      <c r="H37" s="4">
        <v>93043618</v>
      </c>
      <c r="I37" s="4">
        <v>98012044</v>
      </c>
      <c r="J37" s="4">
        <v>100925433</v>
      </c>
      <c r="K37" s="4">
        <v>113188822</v>
      </c>
      <c r="L37" s="4">
        <v>113300884</v>
      </c>
      <c r="M37" s="4">
        <v>102391302</v>
      </c>
      <c r="N37" s="4">
        <v>100777404</v>
      </c>
      <c r="O37" s="4">
        <v>97876417</v>
      </c>
      <c r="P37" s="4">
        <v>112695132</v>
      </c>
      <c r="Q37" s="4">
        <v>112417828</v>
      </c>
      <c r="R37" s="4">
        <v>108756859</v>
      </c>
      <c r="S37" s="4">
        <v>97508760</v>
      </c>
      <c r="T37" s="4">
        <v>106377608</v>
      </c>
      <c r="U37" s="4">
        <v>112108134</v>
      </c>
      <c r="V37" s="4">
        <v>111334048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1BA3B-EF3C-46E7-A042-930F26782038}">
  <dimension ref="A1:AB52"/>
  <sheetViews>
    <sheetView tabSelected="1" zoomScale="51" zoomScaleNormal="51" workbookViewId="0">
      <selection activeCell="P17" sqref="P17"/>
    </sheetView>
  </sheetViews>
  <sheetFormatPr defaultRowHeight="14.4"/>
  <cols>
    <col min="1" max="14" width="16.33203125" customWidth="1"/>
    <col min="16" max="16" width="30" bestFit="1" customWidth="1"/>
    <col min="17" max="28" width="11.44140625" bestFit="1" customWidth="1"/>
  </cols>
  <sheetData>
    <row r="1" spans="1:28">
      <c r="A1" s="6" t="s">
        <v>58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7"/>
      <c r="P1" s="7" t="s">
        <v>59</v>
      </c>
      <c r="Q1" s="9" t="s">
        <v>60</v>
      </c>
      <c r="R1" s="9" t="s">
        <v>61</v>
      </c>
      <c r="S1" s="9" t="s">
        <v>62</v>
      </c>
      <c r="T1" s="9" t="s">
        <v>63</v>
      </c>
      <c r="U1" s="9" t="s">
        <v>57</v>
      </c>
      <c r="V1" s="9" t="s">
        <v>64</v>
      </c>
      <c r="W1" s="9" t="s">
        <v>65</v>
      </c>
      <c r="X1" s="9" t="s">
        <v>66</v>
      </c>
      <c r="Y1" s="9" t="s">
        <v>67</v>
      </c>
      <c r="Z1" s="9" t="s">
        <v>68</v>
      </c>
      <c r="AA1" s="9" t="s">
        <v>69</v>
      </c>
      <c r="AB1" s="9" t="s">
        <v>70</v>
      </c>
    </row>
    <row r="2" spans="1:28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>
        <v>2024</v>
      </c>
      <c r="Q2" s="11">
        <v>51375475</v>
      </c>
      <c r="R2" s="11">
        <v>49604471</v>
      </c>
      <c r="S2" s="11">
        <v>54075027</v>
      </c>
      <c r="T2" s="11">
        <v>38858574</v>
      </c>
      <c r="U2" s="11">
        <v>53004523</v>
      </c>
      <c r="V2" s="11">
        <v>52134045</v>
      </c>
      <c r="W2" s="11">
        <v>62945280</v>
      </c>
      <c r="X2" s="11">
        <v>67014139</v>
      </c>
      <c r="Y2" s="11">
        <v>66963097</v>
      </c>
      <c r="Z2" s="11">
        <v>63972687</v>
      </c>
      <c r="AA2" s="11">
        <v>64878292</v>
      </c>
      <c r="AB2" s="11">
        <v>65822284</v>
      </c>
    </row>
    <row r="3" spans="1:28">
      <c r="A3" s="7">
        <v>1440</v>
      </c>
      <c r="B3" s="7">
        <v>30</v>
      </c>
      <c r="C3" s="7">
        <v>29</v>
      </c>
      <c r="D3" s="7">
        <v>30</v>
      </c>
      <c r="E3" s="7">
        <v>30</v>
      </c>
      <c r="F3" s="7">
        <v>31</v>
      </c>
      <c r="G3" s="7">
        <v>29</v>
      </c>
      <c r="H3" s="7">
        <v>31</v>
      </c>
      <c r="I3" s="7">
        <v>31</v>
      </c>
      <c r="J3" s="7">
        <v>30</v>
      </c>
      <c r="K3" s="7">
        <v>31</v>
      </c>
      <c r="L3" s="7">
        <v>30</v>
      </c>
      <c r="M3" s="7">
        <v>31</v>
      </c>
      <c r="N3" s="7"/>
      <c r="O3" s="7"/>
      <c r="P3" s="7">
        <v>2025</v>
      </c>
      <c r="Q3" s="11">
        <v>47586647</v>
      </c>
      <c r="R3" s="11">
        <v>43527635</v>
      </c>
      <c r="S3" s="11">
        <v>48100468</v>
      </c>
      <c r="T3" s="11">
        <v>51264213</v>
      </c>
      <c r="U3" s="11">
        <v>54901690</v>
      </c>
      <c r="V3" s="11">
        <v>52207894</v>
      </c>
      <c r="W3" s="11">
        <v>61400028</v>
      </c>
      <c r="X3" s="11">
        <v>57686094</v>
      </c>
      <c r="Y3" s="11">
        <v>63537717</v>
      </c>
      <c r="Z3" s="11">
        <v>0</v>
      </c>
      <c r="AA3" s="11">
        <v>0</v>
      </c>
      <c r="AB3" s="11">
        <v>0</v>
      </c>
    </row>
    <row r="4" spans="1:28">
      <c r="A4" s="8" t="s">
        <v>71</v>
      </c>
      <c r="B4" s="9" t="s">
        <v>60</v>
      </c>
      <c r="C4" s="9" t="s">
        <v>61</v>
      </c>
      <c r="D4" s="9" t="s">
        <v>62</v>
      </c>
      <c r="E4" s="9" t="s">
        <v>63</v>
      </c>
      <c r="F4" s="9" t="s">
        <v>57</v>
      </c>
      <c r="G4" s="9" t="s">
        <v>64</v>
      </c>
      <c r="H4" s="9" t="s">
        <v>65</v>
      </c>
      <c r="I4" s="9" t="s">
        <v>66</v>
      </c>
      <c r="J4" s="9" t="s">
        <v>67</v>
      </c>
      <c r="K4" s="9" t="s">
        <v>68</v>
      </c>
      <c r="L4" s="9" t="s">
        <v>69</v>
      </c>
      <c r="M4" s="9" t="s">
        <v>70</v>
      </c>
      <c r="N4" s="9" t="s">
        <v>72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>
      <c r="A5" s="10" t="s">
        <v>0</v>
      </c>
      <c r="B5" s="11">
        <v>2679896</v>
      </c>
      <c r="C5" s="11">
        <v>2762820</v>
      </c>
      <c r="D5" s="11">
        <v>2896438</v>
      </c>
      <c r="E5" s="11">
        <v>2418445</v>
      </c>
      <c r="F5" s="11">
        <v>2742456</v>
      </c>
      <c r="G5" s="11">
        <v>2465713</v>
      </c>
      <c r="H5" s="11">
        <v>2244191</v>
      </c>
      <c r="I5" s="11">
        <v>2470593</v>
      </c>
      <c r="J5" s="11">
        <v>2777842</v>
      </c>
      <c r="K5" s="11">
        <v>2786941</v>
      </c>
      <c r="L5" s="11">
        <v>1712866</v>
      </c>
      <c r="M5" s="11">
        <v>2301813</v>
      </c>
      <c r="N5" s="12">
        <v>30260014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>
      <c r="A6" s="10" t="s">
        <v>1</v>
      </c>
      <c r="B6" s="11">
        <v>3107443</v>
      </c>
      <c r="C6" s="11">
        <v>3071662</v>
      </c>
      <c r="D6" s="11">
        <v>3429978</v>
      </c>
      <c r="E6" s="11">
        <v>960664</v>
      </c>
      <c r="F6" s="11">
        <v>3136506</v>
      </c>
      <c r="G6" s="11">
        <v>2654344</v>
      </c>
      <c r="H6" s="11">
        <v>2827936</v>
      </c>
      <c r="I6" s="11">
        <v>3214197</v>
      </c>
      <c r="J6" s="11">
        <v>2950168</v>
      </c>
      <c r="K6" s="11">
        <v>2081406</v>
      </c>
      <c r="L6" s="11">
        <v>2813662</v>
      </c>
      <c r="M6" s="11">
        <v>2957845</v>
      </c>
      <c r="N6" s="12">
        <v>33205811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>
      <c r="A7" s="10" t="s">
        <v>2</v>
      </c>
      <c r="B7" s="11">
        <v>2802295</v>
      </c>
      <c r="C7" s="11">
        <v>3312193</v>
      </c>
      <c r="D7" s="11">
        <v>3425960</v>
      </c>
      <c r="E7" s="11">
        <v>3128938</v>
      </c>
      <c r="F7" s="11">
        <v>2972352</v>
      </c>
      <c r="G7" s="11">
        <v>2707670</v>
      </c>
      <c r="H7" s="11">
        <v>3211015</v>
      </c>
      <c r="I7" s="11">
        <v>3087540</v>
      </c>
      <c r="J7" s="11">
        <v>3454924</v>
      </c>
      <c r="K7" s="11">
        <v>3209573</v>
      </c>
      <c r="L7" s="11">
        <v>3519706</v>
      </c>
      <c r="M7" s="11">
        <v>3581628</v>
      </c>
      <c r="N7" s="12">
        <v>38413794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>
      <c r="A8" s="10" t="s">
        <v>3</v>
      </c>
      <c r="B8" s="11">
        <v>3496135</v>
      </c>
      <c r="C8" s="11">
        <v>3353409</v>
      </c>
      <c r="D8" s="11">
        <v>3460143</v>
      </c>
      <c r="E8" s="11">
        <v>1113698</v>
      </c>
      <c r="F8" s="11">
        <v>3437634</v>
      </c>
      <c r="G8" s="11">
        <v>2856185</v>
      </c>
      <c r="H8" s="11">
        <v>3086589</v>
      </c>
      <c r="I8" s="11">
        <v>3115229</v>
      </c>
      <c r="J8" s="11">
        <v>3591959</v>
      </c>
      <c r="K8" s="11">
        <v>2618077</v>
      </c>
      <c r="L8" s="11">
        <v>2898232</v>
      </c>
      <c r="M8" s="11">
        <v>3468395</v>
      </c>
      <c r="N8" s="12">
        <v>36495685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>
      <c r="A9" s="10" t="s">
        <v>4</v>
      </c>
      <c r="B9" s="11">
        <v>3456007</v>
      </c>
      <c r="C9" s="11">
        <v>3210955</v>
      </c>
      <c r="D9" s="11">
        <v>3360587</v>
      </c>
      <c r="E9" s="11">
        <v>1116617</v>
      </c>
      <c r="F9" s="11">
        <v>3624543</v>
      </c>
      <c r="G9" s="11">
        <v>3010165</v>
      </c>
      <c r="H9" s="11">
        <v>3311086</v>
      </c>
      <c r="I9" s="11">
        <v>3639797</v>
      </c>
      <c r="J9" s="11">
        <v>3441806</v>
      </c>
      <c r="K9" s="11">
        <v>2576113</v>
      </c>
      <c r="L9" s="11">
        <v>3083021</v>
      </c>
      <c r="M9" s="11">
        <v>3276392</v>
      </c>
      <c r="N9" s="12">
        <v>37107089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>
      <c r="A10" s="10" t="s">
        <v>5</v>
      </c>
      <c r="B10" s="11">
        <v>2677177</v>
      </c>
      <c r="C10" s="11">
        <v>2530336</v>
      </c>
      <c r="D10" s="11">
        <v>2875134</v>
      </c>
      <c r="E10" s="11">
        <v>2539429</v>
      </c>
      <c r="F10" s="11">
        <v>2656141</v>
      </c>
      <c r="G10" s="11">
        <v>2548479</v>
      </c>
      <c r="H10" s="11">
        <v>2763163</v>
      </c>
      <c r="I10" s="11">
        <v>2931910</v>
      </c>
      <c r="J10" s="11">
        <v>2678887</v>
      </c>
      <c r="K10" s="11">
        <v>3177470</v>
      </c>
      <c r="L10" s="11">
        <v>3003814</v>
      </c>
      <c r="M10" s="11">
        <v>2701837</v>
      </c>
      <c r="N10" s="12">
        <v>33083777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>
      <c r="A11" s="10" t="s">
        <v>6</v>
      </c>
      <c r="B11" s="11">
        <v>2477674</v>
      </c>
      <c r="C11" s="11">
        <v>2414975</v>
      </c>
      <c r="D11" s="11">
        <v>2758591</v>
      </c>
      <c r="E11" s="11">
        <v>897987</v>
      </c>
      <c r="F11" s="11">
        <v>2933985</v>
      </c>
      <c r="G11" s="11">
        <v>2432620</v>
      </c>
      <c r="H11" s="11">
        <v>2346721</v>
      </c>
      <c r="I11" s="11">
        <v>2653109</v>
      </c>
      <c r="J11" s="11">
        <v>2845247</v>
      </c>
      <c r="K11" s="11">
        <v>1643594</v>
      </c>
      <c r="L11" s="11">
        <v>2347719</v>
      </c>
      <c r="M11" s="11">
        <v>2553840</v>
      </c>
      <c r="N11" s="12">
        <v>28306062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>
      <c r="A12" s="10" t="s">
        <v>7</v>
      </c>
      <c r="B12" s="11">
        <v>3804330</v>
      </c>
      <c r="C12" s="11">
        <v>3668319</v>
      </c>
      <c r="D12" s="11">
        <v>4169892</v>
      </c>
      <c r="E12" s="11">
        <v>3410565</v>
      </c>
      <c r="F12" s="11">
        <v>3669507</v>
      </c>
      <c r="G12" s="11">
        <v>3305501</v>
      </c>
      <c r="H12" s="11">
        <v>3565969</v>
      </c>
      <c r="I12" s="11">
        <v>3406441</v>
      </c>
      <c r="J12" s="11">
        <v>3278491</v>
      </c>
      <c r="K12" s="11">
        <v>3615428</v>
      </c>
      <c r="L12" s="11">
        <v>3562448</v>
      </c>
      <c r="M12" s="11">
        <v>3472393</v>
      </c>
      <c r="N12" s="12">
        <v>42929284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>
      <c r="A13" s="10" t="s">
        <v>8</v>
      </c>
      <c r="B13" s="11">
        <v>3778525</v>
      </c>
      <c r="C13" s="11">
        <v>3334527</v>
      </c>
      <c r="D13" s="11">
        <v>3962938</v>
      </c>
      <c r="E13" s="11">
        <v>3719773</v>
      </c>
      <c r="F13" s="11">
        <v>4174989</v>
      </c>
      <c r="G13" s="11">
        <v>3541720</v>
      </c>
      <c r="H13" s="11">
        <v>3862467</v>
      </c>
      <c r="I13" s="11">
        <v>4016030</v>
      </c>
      <c r="J13" s="11">
        <v>3976740</v>
      </c>
      <c r="K13" s="11">
        <v>3836849</v>
      </c>
      <c r="L13" s="11">
        <v>3969970</v>
      </c>
      <c r="M13" s="11">
        <v>3601376</v>
      </c>
      <c r="N13" s="12">
        <v>45775904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>
      <c r="A14" s="10" t="s">
        <v>9</v>
      </c>
      <c r="B14" s="11">
        <v>3833834</v>
      </c>
      <c r="C14" s="11">
        <v>3949144</v>
      </c>
      <c r="D14" s="11">
        <v>4341094</v>
      </c>
      <c r="E14" s="11">
        <v>3974595</v>
      </c>
      <c r="F14" s="11">
        <v>3797832</v>
      </c>
      <c r="G14" s="11">
        <v>3599892</v>
      </c>
      <c r="H14" s="11">
        <v>3542952</v>
      </c>
      <c r="I14" s="11">
        <v>2690907</v>
      </c>
      <c r="J14" s="11">
        <v>3777245</v>
      </c>
      <c r="K14" s="11">
        <v>4382480</v>
      </c>
      <c r="L14" s="11">
        <v>4067356</v>
      </c>
      <c r="M14" s="11">
        <v>4255237</v>
      </c>
      <c r="N14" s="12">
        <v>46212568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>
      <c r="A15" s="10" t="s">
        <v>10</v>
      </c>
      <c r="B15" s="11">
        <v>3366309</v>
      </c>
      <c r="C15" s="11">
        <v>3481928</v>
      </c>
      <c r="D15" s="11">
        <v>3663057</v>
      </c>
      <c r="E15" s="11">
        <v>2895093</v>
      </c>
      <c r="F15" s="11">
        <v>3435582</v>
      </c>
      <c r="G15" s="11">
        <v>2975290</v>
      </c>
      <c r="H15" s="11">
        <v>3526140</v>
      </c>
      <c r="I15" s="11">
        <v>3484178</v>
      </c>
      <c r="J15" s="11">
        <v>3257247</v>
      </c>
      <c r="K15" s="11">
        <v>2743368</v>
      </c>
      <c r="L15" s="11">
        <v>2609386</v>
      </c>
      <c r="M15" s="11">
        <v>2830561</v>
      </c>
      <c r="N15" s="12">
        <v>38268139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>
      <c r="A16" s="10" t="s">
        <v>11</v>
      </c>
      <c r="B16" s="11">
        <v>4044937</v>
      </c>
      <c r="C16" s="11">
        <v>4033727</v>
      </c>
      <c r="D16" s="11">
        <v>4226255</v>
      </c>
      <c r="E16" s="11">
        <v>3767838</v>
      </c>
      <c r="F16" s="11">
        <v>4242340</v>
      </c>
      <c r="G16" s="11">
        <v>3732023</v>
      </c>
      <c r="H16" s="11">
        <v>4252489</v>
      </c>
      <c r="I16" s="11">
        <v>4760088</v>
      </c>
      <c r="J16" s="11">
        <v>4638650</v>
      </c>
      <c r="K16" s="11">
        <v>4826529</v>
      </c>
      <c r="L16" s="11">
        <v>4747730</v>
      </c>
      <c r="M16" s="11">
        <v>4481241</v>
      </c>
      <c r="N16" s="12">
        <v>51753847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14">
      <c r="A17" s="10" t="s">
        <v>12</v>
      </c>
      <c r="B17" s="11">
        <v>3207345</v>
      </c>
      <c r="C17" s="11">
        <v>2277077</v>
      </c>
      <c r="D17" s="11">
        <v>2652605</v>
      </c>
      <c r="E17" s="11">
        <v>942535</v>
      </c>
      <c r="F17" s="11">
        <v>3534482</v>
      </c>
      <c r="G17" s="11">
        <v>2648020</v>
      </c>
      <c r="H17" s="11">
        <v>3093881</v>
      </c>
      <c r="I17" s="11">
        <v>3471899</v>
      </c>
      <c r="J17" s="11">
        <v>3188705</v>
      </c>
      <c r="K17" s="11">
        <v>2171396</v>
      </c>
      <c r="L17" s="11">
        <v>2973591</v>
      </c>
      <c r="M17" s="11">
        <v>3175266</v>
      </c>
      <c r="N17" s="12">
        <v>33336802</v>
      </c>
    </row>
    <row r="18" spans="1:14">
      <c r="A18" s="10" t="s">
        <v>13</v>
      </c>
      <c r="B18" s="11">
        <v>3590385</v>
      </c>
      <c r="C18" s="11">
        <v>3453658</v>
      </c>
      <c r="D18" s="11">
        <v>3709441</v>
      </c>
      <c r="E18" s="11">
        <v>3368079</v>
      </c>
      <c r="F18" s="11">
        <v>3345957</v>
      </c>
      <c r="G18" s="11">
        <v>2889562</v>
      </c>
      <c r="H18" s="11">
        <v>3448746</v>
      </c>
      <c r="I18" s="11">
        <v>3424923</v>
      </c>
      <c r="J18" s="11">
        <v>3506139</v>
      </c>
      <c r="K18" s="11">
        <v>2751743</v>
      </c>
      <c r="L18" s="11">
        <v>2803535</v>
      </c>
      <c r="M18" s="11">
        <v>2951101</v>
      </c>
      <c r="N18" s="12">
        <v>39243269</v>
      </c>
    </row>
    <row r="19" spans="1:14">
      <c r="A19" s="10" t="s">
        <v>14</v>
      </c>
      <c r="B19" s="11">
        <v>5053183</v>
      </c>
      <c r="C19" s="11">
        <v>4749741</v>
      </c>
      <c r="D19" s="11">
        <v>5142914</v>
      </c>
      <c r="E19" s="11">
        <v>4604318</v>
      </c>
      <c r="F19" s="11">
        <v>5069372</v>
      </c>
      <c r="G19" s="11">
        <v>4524918</v>
      </c>
      <c r="H19" s="11">
        <v>4707719</v>
      </c>
      <c r="I19" s="11">
        <v>4832382</v>
      </c>
      <c r="J19" s="11">
        <v>4637011</v>
      </c>
      <c r="K19" s="11">
        <v>4952961</v>
      </c>
      <c r="L19" s="11">
        <v>4600564</v>
      </c>
      <c r="M19" s="11">
        <v>4367187</v>
      </c>
      <c r="N19" s="12">
        <v>57242270</v>
      </c>
    </row>
    <row r="20" spans="1:14">
      <c r="A20" s="10" t="s">
        <v>15</v>
      </c>
      <c r="B20" s="11">
        <v>0</v>
      </c>
      <c r="C20" s="11">
        <v>0</v>
      </c>
      <c r="D20" s="11">
        <v>0</v>
      </c>
      <c r="E20" s="11">
        <v>0</v>
      </c>
      <c r="F20" s="13">
        <v>230845</v>
      </c>
      <c r="G20" s="11">
        <v>3572914</v>
      </c>
      <c r="H20" s="11">
        <v>3956445</v>
      </c>
      <c r="I20" s="11">
        <v>4311994</v>
      </c>
      <c r="J20" s="11">
        <v>3539402</v>
      </c>
      <c r="K20" s="11">
        <v>4483060</v>
      </c>
      <c r="L20" s="11">
        <v>4408371</v>
      </c>
      <c r="M20" s="11">
        <v>4350155</v>
      </c>
      <c r="N20" s="12">
        <v>28853186</v>
      </c>
    </row>
    <row r="21" spans="1:14">
      <c r="A21" s="10" t="s">
        <v>16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2473503</v>
      </c>
      <c r="H21" s="11">
        <v>4563320</v>
      </c>
      <c r="I21" s="11">
        <v>4383261</v>
      </c>
      <c r="J21" s="11">
        <v>4575806</v>
      </c>
      <c r="K21" s="11">
        <v>4419962</v>
      </c>
      <c r="L21" s="11">
        <v>4158892</v>
      </c>
      <c r="M21" s="11">
        <v>4245235</v>
      </c>
      <c r="N21" s="12">
        <v>28819979</v>
      </c>
    </row>
    <row r="22" spans="1:14">
      <c r="A22" s="10" t="s">
        <v>17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3">
        <v>195526</v>
      </c>
      <c r="H22" s="11">
        <v>3079693</v>
      </c>
      <c r="I22" s="11">
        <v>3147046</v>
      </c>
      <c r="J22" s="11">
        <v>2760535</v>
      </c>
      <c r="K22" s="11">
        <v>3589016</v>
      </c>
      <c r="L22" s="11">
        <v>3567856</v>
      </c>
      <c r="M22" s="11">
        <v>3459042</v>
      </c>
      <c r="N22" s="12">
        <v>19798714</v>
      </c>
    </row>
    <row r="23" spans="1:14">
      <c r="A23" s="10" t="s">
        <v>18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3">
        <v>1554758</v>
      </c>
      <c r="I23" s="11">
        <v>3972615</v>
      </c>
      <c r="J23" s="11">
        <v>4086293</v>
      </c>
      <c r="K23" s="11">
        <v>4106721</v>
      </c>
      <c r="L23" s="11">
        <v>4029573</v>
      </c>
      <c r="M23" s="11">
        <v>3791740</v>
      </c>
      <c r="N23" s="12">
        <v>21541700</v>
      </c>
    </row>
    <row r="24" spans="1:14">
      <c r="A24" s="10" t="s">
        <v>73</v>
      </c>
      <c r="B24" s="11">
        <v>51375475</v>
      </c>
      <c r="C24" s="11">
        <v>49604471</v>
      </c>
      <c r="D24" s="11">
        <v>54075027</v>
      </c>
      <c r="E24" s="11">
        <v>38858574</v>
      </c>
      <c r="F24" s="11">
        <v>53004523</v>
      </c>
      <c r="G24" s="11">
        <v>52134045</v>
      </c>
      <c r="H24" s="11">
        <v>62945280</v>
      </c>
      <c r="I24" s="11">
        <v>67014139</v>
      </c>
      <c r="J24" s="11">
        <v>66963097</v>
      </c>
      <c r="K24" s="11">
        <v>63972687</v>
      </c>
      <c r="L24" s="11">
        <v>64878292</v>
      </c>
      <c r="M24" s="11">
        <v>65822284</v>
      </c>
      <c r="N24" s="12">
        <v>690647894</v>
      </c>
    </row>
    <row r="26" spans="1:14">
      <c r="A26" s="6" t="s">
        <v>74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9" spans="1:14">
      <c r="A29" s="10" t="s">
        <v>0</v>
      </c>
      <c r="B29" s="11">
        <v>2624081</v>
      </c>
      <c r="C29" s="11">
        <v>2928832</v>
      </c>
      <c r="D29" s="11">
        <v>2929184</v>
      </c>
      <c r="E29" s="11">
        <v>3056469</v>
      </c>
      <c r="F29" s="11">
        <v>3206726</v>
      </c>
      <c r="G29" s="11">
        <v>2993866</v>
      </c>
      <c r="H29" s="11">
        <v>3291094</v>
      </c>
      <c r="I29" s="11">
        <v>3057450</v>
      </c>
      <c r="J29" s="11">
        <v>3181666</v>
      </c>
      <c r="K29" s="11"/>
      <c r="L29" s="11"/>
      <c r="M29" s="11"/>
      <c r="N29" s="9" t="s">
        <v>72</v>
      </c>
    </row>
    <row r="30" spans="1:14">
      <c r="A30" s="10" t="s">
        <v>1</v>
      </c>
      <c r="B30" s="11">
        <v>3117746</v>
      </c>
      <c r="C30" s="11">
        <v>3104279</v>
      </c>
      <c r="D30" s="11">
        <v>3149845</v>
      </c>
      <c r="E30" s="11">
        <v>2840042</v>
      </c>
      <c r="F30" s="11">
        <v>2935296</v>
      </c>
      <c r="G30" s="11">
        <v>2696219</v>
      </c>
      <c r="H30" s="11">
        <v>3207881</v>
      </c>
      <c r="I30" s="11">
        <v>2865954</v>
      </c>
      <c r="J30" s="11">
        <v>2619559</v>
      </c>
      <c r="K30" s="11"/>
      <c r="L30" s="11"/>
      <c r="M30" s="11"/>
      <c r="N30" s="12">
        <v>26536821</v>
      </c>
    </row>
    <row r="31" spans="1:14">
      <c r="A31" s="10" t="s">
        <v>2</v>
      </c>
      <c r="B31" s="11">
        <v>2819838</v>
      </c>
      <c r="C31" s="11">
        <v>3092399</v>
      </c>
      <c r="D31" s="11">
        <v>3423722</v>
      </c>
      <c r="E31" s="11">
        <v>3341355</v>
      </c>
      <c r="F31" s="11">
        <v>2819604</v>
      </c>
      <c r="G31" s="11">
        <v>2759820</v>
      </c>
      <c r="H31" s="11">
        <v>3280259</v>
      </c>
      <c r="I31" s="11">
        <v>3318543</v>
      </c>
      <c r="J31" s="11">
        <v>3123717</v>
      </c>
      <c r="K31" s="11"/>
      <c r="L31" s="11"/>
      <c r="M31" s="11"/>
      <c r="N31" s="12">
        <v>27979257</v>
      </c>
    </row>
    <row r="32" spans="1:14">
      <c r="A32" s="10" t="s">
        <v>3</v>
      </c>
      <c r="B32" s="11">
        <v>2970463</v>
      </c>
      <c r="C32" s="11">
        <v>3111940</v>
      </c>
      <c r="D32" s="11">
        <v>3068712</v>
      </c>
      <c r="E32" s="11">
        <v>3359563</v>
      </c>
      <c r="F32" s="11">
        <v>3358313</v>
      </c>
      <c r="G32" s="11">
        <v>2997192</v>
      </c>
      <c r="H32" s="11">
        <v>3116514</v>
      </c>
      <c r="I32" s="11">
        <v>3060049</v>
      </c>
      <c r="J32" s="11">
        <v>2846160</v>
      </c>
      <c r="K32" s="11"/>
      <c r="L32" s="11"/>
      <c r="M32" s="11"/>
      <c r="N32" s="12">
        <v>27888906</v>
      </c>
    </row>
    <row r="33" spans="1:14">
      <c r="A33" s="10" t="s">
        <v>4</v>
      </c>
      <c r="B33" s="11">
        <v>3115415</v>
      </c>
      <c r="C33" s="11">
        <v>3067525</v>
      </c>
      <c r="D33" s="11">
        <v>3014384</v>
      </c>
      <c r="E33" s="11">
        <v>3137488</v>
      </c>
      <c r="F33" s="11">
        <v>3299121</v>
      </c>
      <c r="G33" s="11">
        <v>2937172</v>
      </c>
      <c r="H33" s="11">
        <v>3036969</v>
      </c>
      <c r="I33" s="11">
        <v>2470031</v>
      </c>
      <c r="J33" s="11">
        <v>2887660</v>
      </c>
      <c r="K33" s="11"/>
      <c r="L33" s="11"/>
      <c r="M33" s="11"/>
      <c r="N33" s="12">
        <v>26965765</v>
      </c>
    </row>
    <row r="34" spans="1:14">
      <c r="A34" s="10" t="s">
        <v>5</v>
      </c>
      <c r="B34" s="11">
        <v>2757862</v>
      </c>
      <c r="C34" s="11">
        <v>2807421</v>
      </c>
      <c r="D34" s="11">
        <v>2066891</v>
      </c>
      <c r="E34" s="11">
        <v>3242825</v>
      </c>
      <c r="F34" s="11">
        <v>3036937</v>
      </c>
      <c r="G34" s="11">
        <v>2875946</v>
      </c>
      <c r="H34" s="11">
        <v>2854056</v>
      </c>
      <c r="I34" s="11">
        <v>2898322</v>
      </c>
      <c r="J34" s="11">
        <v>3105716</v>
      </c>
      <c r="K34" s="11"/>
      <c r="L34" s="11"/>
      <c r="M34" s="11"/>
      <c r="N34" s="12">
        <v>25645976</v>
      </c>
    </row>
    <row r="35" spans="1:14">
      <c r="A35" s="10" t="s">
        <v>6</v>
      </c>
      <c r="B35" s="11">
        <v>2523385</v>
      </c>
      <c r="C35" s="11">
        <v>1064104</v>
      </c>
      <c r="D35" s="11">
        <v>3027735</v>
      </c>
      <c r="E35" s="11">
        <v>3315661</v>
      </c>
      <c r="F35" s="11">
        <v>3193201</v>
      </c>
      <c r="G35" s="11">
        <v>2055240</v>
      </c>
      <c r="H35" s="11">
        <v>3267457</v>
      </c>
      <c r="I35" s="11">
        <v>2822656</v>
      </c>
      <c r="J35" s="11">
        <v>3385923</v>
      </c>
      <c r="K35" s="11"/>
      <c r="L35" s="11"/>
      <c r="M35" s="11"/>
      <c r="N35" s="12">
        <v>24655362</v>
      </c>
    </row>
    <row r="36" spans="1:14">
      <c r="A36" s="10" t="s">
        <v>7</v>
      </c>
      <c r="B36" s="11">
        <v>3564627</v>
      </c>
      <c r="C36" s="11">
        <v>2953467</v>
      </c>
      <c r="D36" s="11">
        <v>2785347</v>
      </c>
      <c r="E36" s="11">
        <v>3362580</v>
      </c>
      <c r="F36" s="11">
        <v>3067077</v>
      </c>
      <c r="G36" s="11">
        <v>2754211</v>
      </c>
      <c r="H36" s="11">
        <v>3108120</v>
      </c>
      <c r="I36" s="11">
        <v>3228874</v>
      </c>
      <c r="J36" s="11">
        <v>3339029</v>
      </c>
      <c r="K36" s="11"/>
      <c r="L36" s="11"/>
      <c r="M36" s="11"/>
      <c r="N36" s="12">
        <v>28163332</v>
      </c>
    </row>
    <row r="37" spans="1:14">
      <c r="A37" s="10" t="s">
        <v>8</v>
      </c>
      <c r="B37" s="11">
        <v>3095553</v>
      </c>
      <c r="C37" s="11">
        <v>3385595</v>
      </c>
      <c r="D37" s="11">
        <v>3673684</v>
      </c>
      <c r="E37" s="11">
        <v>3506301</v>
      </c>
      <c r="F37" s="11">
        <v>3364324</v>
      </c>
      <c r="G37" s="11">
        <v>2833439</v>
      </c>
      <c r="H37" s="11">
        <v>3317277</v>
      </c>
      <c r="I37" s="11">
        <v>3673980</v>
      </c>
      <c r="J37" s="11">
        <v>3448454</v>
      </c>
      <c r="K37" s="11"/>
      <c r="L37" s="11"/>
      <c r="M37" s="11"/>
      <c r="N37" s="12">
        <v>30298607</v>
      </c>
    </row>
    <row r="38" spans="1:14">
      <c r="A38" s="10" t="s">
        <v>9</v>
      </c>
      <c r="B38" s="11">
        <v>4119741</v>
      </c>
      <c r="C38" s="11">
        <v>2997295</v>
      </c>
      <c r="D38" s="11">
        <v>4187666</v>
      </c>
      <c r="E38" s="11">
        <v>4156696</v>
      </c>
      <c r="F38" s="11">
        <v>4543954</v>
      </c>
      <c r="G38" s="11">
        <v>4129968</v>
      </c>
      <c r="H38" s="11">
        <v>4450920</v>
      </c>
      <c r="I38" s="11">
        <v>4143275</v>
      </c>
      <c r="J38" s="11">
        <v>3946913</v>
      </c>
      <c r="K38" s="11"/>
      <c r="L38" s="11"/>
      <c r="M38" s="11"/>
      <c r="N38" s="12">
        <v>36676428</v>
      </c>
    </row>
    <row r="39" spans="1:14">
      <c r="A39" s="10" t="s">
        <v>10</v>
      </c>
      <c r="B39" s="11">
        <v>2794679</v>
      </c>
      <c r="C39" s="11">
        <v>2619493</v>
      </c>
      <c r="D39" s="11">
        <v>2651737</v>
      </c>
      <c r="E39" s="11">
        <v>3033876</v>
      </c>
      <c r="F39" s="11">
        <v>2691393</v>
      </c>
      <c r="G39" s="11">
        <v>956396</v>
      </c>
      <c r="H39" s="11">
        <v>1175494</v>
      </c>
      <c r="I39" s="11">
        <v>2286166</v>
      </c>
      <c r="J39" s="11">
        <v>3063701</v>
      </c>
      <c r="K39" s="11"/>
      <c r="L39" s="11"/>
      <c r="M39" s="11"/>
      <c r="N39" s="12">
        <v>21272935</v>
      </c>
    </row>
    <row r="40" spans="1:14">
      <c r="A40" s="10" t="s">
        <v>11</v>
      </c>
      <c r="B40" s="11">
        <v>4095787</v>
      </c>
      <c r="C40" s="11">
        <v>4224782</v>
      </c>
      <c r="D40" s="11">
        <v>4498549</v>
      </c>
      <c r="E40" s="11">
        <v>4302088</v>
      </c>
      <c r="F40" s="11">
        <v>4438971</v>
      </c>
      <c r="G40" s="11">
        <v>3377971</v>
      </c>
      <c r="H40" s="11">
        <v>3673237</v>
      </c>
      <c r="I40" s="11">
        <v>3488003</v>
      </c>
      <c r="J40" s="11">
        <v>4087964</v>
      </c>
      <c r="K40" s="11"/>
      <c r="L40" s="11"/>
      <c r="M40" s="11"/>
      <c r="N40" s="12">
        <v>36187352</v>
      </c>
    </row>
    <row r="41" spans="1:14">
      <c r="A41" s="10" t="s">
        <v>12</v>
      </c>
      <c r="B41" s="11">
        <v>3056817</v>
      </c>
      <c r="C41" s="11">
        <v>2706920</v>
      </c>
      <c r="D41" s="11">
        <v>2374489</v>
      </c>
      <c r="E41" s="11">
        <v>2745643</v>
      </c>
      <c r="F41" s="11">
        <v>2745151</v>
      </c>
      <c r="G41" s="11">
        <v>2737892</v>
      </c>
      <c r="H41" s="11">
        <v>2997923</v>
      </c>
      <c r="I41" s="11">
        <v>2699007</v>
      </c>
      <c r="J41" s="11">
        <v>2772435</v>
      </c>
      <c r="K41" s="11"/>
      <c r="L41" s="11"/>
      <c r="M41" s="11"/>
      <c r="N41" s="12">
        <v>24836277</v>
      </c>
    </row>
    <row r="42" spans="1:14">
      <c r="A42" s="10" t="s">
        <v>13</v>
      </c>
      <c r="B42" s="11">
        <v>2632720</v>
      </c>
      <c r="C42" s="11">
        <v>1334412</v>
      </c>
      <c r="D42" s="11">
        <v>2954543</v>
      </c>
      <c r="E42" s="11">
        <v>3408984</v>
      </c>
      <c r="F42" s="11">
        <v>3638295</v>
      </c>
      <c r="G42" s="11">
        <v>3034703</v>
      </c>
      <c r="H42" s="11">
        <v>3143249</v>
      </c>
      <c r="I42" s="11">
        <v>1841098</v>
      </c>
      <c r="J42" s="11">
        <v>3294099</v>
      </c>
      <c r="K42" s="11"/>
      <c r="L42" s="11"/>
      <c r="M42" s="11"/>
      <c r="N42" s="12">
        <v>25282103</v>
      </c>
    </row>
    <row r="43" spans="1:14">
      <c r="A43" s="10" t="s">
        <v>14</v>
      </c>
      <c r="B43" s="11">
        <v>4297933</v>
      </c>
      <c r="C43" s="11">
        <v>4129171</v>
      </c>
      <c r="D43" s="11">
        <v>4293980</v>
      </c>
      <c r="E43" s="11">
        <v>4454642</v>
      </c>
      <c r="F43" s="11">
        <v>4384504</v>
      </c>
      <c r="G43" s="11">
        <v>3408086</v>
      </c>
      <c r="H43" s="11">
        <v>3667762</v>
      </c>
      <c r="I43" s="11">
        <v>2609515</v>
      </c>
      <c r="J43" s="11">
        <v>4388777</v>
      </c>
      <c r="K43" s="11"/>
      <c r="L43" s="11"/>
      <c r="M43" s="11"/>
      <c r="N43" s="12">
        <v>35634370</v>
      </c>
    </row>
    <row r="44" spans="1:14">
      <c r="A44" s="10" t="s">
        <v>15</v>
      </c>
      <c r="B44" s="11"/>
      <c r="C44" s="11"/>
      <c r="D44" s="11"/>
      <c r="E44" s="11"/>
      <c r="F44" s="14">
        <v>4178823</v>
      </c>
      <c r="G44" s="14">
        <v>3791060</v>
      </c>
      <c r="H44" s="14">
        <v>4005215</v>
      </c>
      <c r="I44" s="11">
        <v>3685705</v>
      </c>
      <c r="J44" s="11">
        <v>3618361</v>
      </c>
      <c r="K44" s="11"/>
      <c r="L44" s="11"/>
      <c r="M44" s="11"/>
      <c r="N44" s="12">
        <v>19279164</v>
      </c>
    </row>
    <row r="45" spans="1:14">
      <c r="A45" s="10" t="s">
        <v>16</v>
      </c>
      <c r="B45" s="11"/>
      <c r="C45" s="11"/>
      <c r="D45" s="11"/>
      <c r="E45" s="11"/>
      <c r="F45" s="14"/>
      <c r="G45" s="14">
        <v>3057492</v>
      </c>
      <c r="H45" s="14">
        <v>3465391</v>
      </c>
      <c r="I45" s="11">
        <v>3523838</v>
      </c>
      <c r="J45" s="11">
        <v>4226910</v>
      </c>
      <c r="K45" s="11"/>
      <c r="L45" s="11"/>
      <c r="M45" s="11"/>
      <c r="N45" s="12">
        <v>14273631</v>
      </c>
    </row>
    <row r="46" spans="1:14">
      <c r="A46" s="10" t="s">
        <v>17</v>
      </c>
      <c r="B46" s="11"/>
      <c r="C46" s="11"/>
      <c r="D46" s="11"/>
      <c r="E46" s="11"/>
      <c r="F46" s="14"/>
      <c r="G46" s="14">
        <v>2811221</v>
      </c>
      <c r="H46" s="14">
        <v>3343789</v>
      </c>
      <c r="I46" s="11">
        <v>3107529</v>
      </c>
      <c r="J46" s="11">
        <v>3268427</v>
      </c>
      <c r="K46" s="11"/>
      <c r="L46" s="11"/>
      <c r="M46" s="11"/>
      <c r="N46" s="12">
        <v>12530966</v>
      </c>
    </row>
    <row r="47" spans="1:14">
      <c r="A47" s="10" t="s">
        <v>18</v>
      </c>
      <c r="B47" s="11"/>
      <c r="C47" s="11"/>
      <c r="D47" s="11"/>
      <c r="E47" s="11"/>
      <c r="F47" s="14"/>
      <c r="G47" s="14"/>
      <c r="H47" s="14">
        <v>2997421</v>
      </c>
      <c r="I47" s="11">
        <v>2906099</v>
      </c>
      <c r="J47" s="11">
        <v>2932246</v>
      </c>
      <c r="K47" s="11"/>
      <c r="L47" s="11"/>
      <c r="M47" s="11"/>
      <c r="N47" s="12">
        <v>8835766</v>
      </c>
    </row>
    <row r="48" spans="1:14">
      <c r="A48" s="10" t="s">
        <v>19</v>
      </c>
      <c r="B48" s="11">
        <v>0</v>
      </c>
      <c r="C48" s="11">
        <v>0</v>
      </c>
      <c r="D48" s="11">
        <v>0</v>
      </c>
      <c r="E48" s="11">
        <v>0</v>
      </c>
      <c r="F48" s="15"/>
      <c r="G48" s="14"/>
      <c r="H48" s="13"/>
      <c r="I48" s="11"/>
      <c r="J48" s="11"/>
      <c r="K48" s="11"/>
      <c r="L48" s="11"/>
      <c r="M48" s="11"/>
      <c r="N48" s="12">
        <v>0</v>
      </c>
    </row>
    <row r="49" spans="1:14">
      <c r="A49" s="10" t="s">
        <v>20</v>
      </c>
      <c r="B49" s="11">
        <v>0</v>
      </c>
      <c r="C49" s="11">
        <v>0</v>
      </c>
      <c r="D49" s="11">
        <v>0</v>
      </c>
      <c r="E49" s="11">
        <v>0</v>
      </c>
      <c r="F49" s="13"/>
      <c r="G49" s="14"/>
      <c r="H49" s="14"/>
      <c r="I49" s="11"/>
      <c r="J49" s="11"/>
      <c r="K49" s="11"/>
      <c r="L49" s="11"/>
      <c r="M49" s="11"/>
      <c r="N49" s="12">
        <v>0</v>
      </c>
    </row>
    <row r="50" spans="1:14">
      <c r="A50" s="10" t="s">
        <v>21</v>
      </c>
      <c r="B50" s="11">
        <v>0</v>
      </c>
      <c r="C50" s="11">
        <v>0</v>
      </c>
      <c r="D50" s="11">
        <v>0</v>
      </c>
      <c r="E50" s="11">
        <v>0</v>
      </c>
      <c r="F50" s="13"/>
      <c r="G50" s="14"/>
      <c r="H50" s="14"/>
      <c r="I50" s="11"/>
      <c r="J50" s="11"/>
      <c r="K50" s="11"/>
      <c r="L50" s="11"/>
      <c r="M50" s="11"/>
      <c r="N50" s="12">
        <v>0</v>
      </c>
    </row>
    <row r="51" spans="1:14">
      <c r="A51" s="10" t="s">
        <v>22</v>
      </c>
      <c r="B51" s="11">
        <v>0</v>
      </c>
      <c r="C51" s="11">
        <v>0</v>
      </c>
      <c r="D51" s="11">
        <v>0</v>
      </c>
      <c r="E51" s="11">
        <v>0</v>
      </c>
      <c r="F51" s="14"/>
      <c r="G51" s="13"/>
      <c r="H51" s="14"/>
      <c r="I51" s="11"/>
      <c r="J51" s="11"/>
      <c r="K51" s="11"/>
      <c r="L51" s="11"/>
      <c r="M51" s="11"/>
      <c r="N51" s="12">
        <v>0</v>
      </c>
    </row>
    <row r="52" spans="1:14">
      <c r="A52" s="10" t="s">
        <v>73</v>
      </c>
      <c r="B52" s="11">
        <f>SUM(B29:B51)</f>
        <v>47586647</v>
      </c>
      <c r="C52" s="11">
        <v>43527635</v>
      </c>
      <c r="D52" s="11">
        <v>48100468</v>
      </c>
      <c r="E52" s="11">
        <v>51264213</v>
      </c>
      <c r="F52" s="11">
        <v>54901690</v>
      </c>
      <c r="G52" s="11">
        <v>52207894</v>
      </c>
      <c r="H52" s="11">
        <v>61400028</v>
      </c>
      <c r="I52" s="11">
        <v>57686094</v>
      </c>
      <c r="J52" s="11">
        <v>63537717</v>
      </c>
      <c r="K52" s="11">
        <v>0</v>
      </c>
      <c r="L52" s="11">
        <v>0</v>
      </c>
      <c r="M52" s="11">
        <v>0</v>
      </c>
      <c r="N52" s="12">
        <v>480212386</v>
      </c>
    </row>
  </sheetData>
  <mergeCells count="2">
    <mergeCell ref="A1:N2"/>
    <mergeCell ref="A26:N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Факт_пикс_antp</vt:lpstr>
      <vt:lpstr>Факт_пикс_xiva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dbahromov</dc:creator>
  <cp:lastModifiedBy>komilerkinov39@gmail.com</cp:lastModifiedBy>
  <dcterms:created xsi:type="dcterms:W3CDTF">2025-10-07T10:02:46Z</dcterms:created>
  <dcterms:modified xsi:type="dcterms:W3CDTF">2026-08-23T19:17:39Z</dcterms:modified>
</cp:coreProperties>
</file>